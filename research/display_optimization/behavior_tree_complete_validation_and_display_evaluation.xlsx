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8e30a171574a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fb4d41555d824029"/>
    <x:sheet xmlns:r="http://schemas.openxmlformats.org/officeDocument/2006/relationships" name="功能验收" sheetId="2" r:id="Rda6f45ffe6fa4ab5"/>
    <x:sheet xmlns:r="http://schemas.openxmlformats.org/officeDocument/2006/relationships" name="显示方法" sheetId="3" r:id="R5254ab30184740a5"/>
    <x:sheet xmlns:r="http://schemas.openxmlformats.org/officeDocument/2006/relationships" name="原始数据" sheetId="4" r:id="R351b2f4236be4fb3"/>
    <x:sheet xmlns:r="http://schemas.openxmlformats.org/officeDocument/2006/relationships" name="对比评分" sheetId="5" r:id="R75bbad540e5e431f"/>
    <x:sheet xmlns:r="http://schemas.openxmlformats.org/officeDocument/2006/relationships" name="用户实验模板" sheetId="6" r:id="R6e79e91f64d148a0"/>
    <x:sheet xmlns:r="http://schemas.openxmlformats.org/officeDocument/2006/relationships" name="评价说明" sheetId="7" r:id="R37f15945a25c49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0"/>
    <x:numFmt numFmtId="201" formatCode="0.0%"/>
    <x:numFmt numFmtId="202" formatCode="#,##0"/>
    <x:numFmt numFmtId="203" formatCode="0.00x"/>
    <x:numFmt numFmtId="204" formatCode="0.000"/>
    <x:numFmt numFmtId="205" formatCode="0.00"/>
    <x:numFmt numFmtId="206" formatCode="0.00000"/>
    <x:numFmt numFmtId="207" formatCode="0.0"/>
    <x:numFmt numFmtId="208" formatCode="0%"/>
  </x:numFmts>
  <x:fonts count="9">
    <x:font>
      <x:sz val="11"/>
      <x:name val="Carlito"/>
    </x:font>
    <x:font>
      <x:sz val="10"/>
      <x:color rgb="FF23303D"/>
      <x:name val="Microsoft YaHei"/>
    </x:font>
    <x:font>
      <x:b/>
      <x:sz val="16"/>
      <x:color rgb="FFFFFFFF"/>
      <x:name val="Microsoft YaHei"/>
    </x:font>
    <x:font>
      <x:b/>
      <x:sz val="10"/>
      <x:color rgb="FFFFFFFF"/>
      <x:name val="Microsoft YaHei"/>
    </x:font>
    <x:font>
      <x:sz val="9"/>
      <x:color rgb="FF23303D"/>
      <x:name val="Microsoft YaHei"/>
    </x:font>
    <x:font>
      <x:b/>
      <x:sz val="11"/>
      <x:color rgb="FFFFFFFF"/>
      <x:name val="Microsoft YaHei"/>
    </x:font>
    <x:font>
      <x:b/>
      <x:sz val="9"/>
      <x:color rgb="FF2F855A"/>
      <x:name val="Microsoft YaHei"/>
    </x:font>
    <x:font>
      <x:sz val="10"/>
      <x:color rgb="FF617181"/>
      <x:name val="Microsoft YaHei"/>
    </x:font>
    <x:font>
      <x:sz val="10"/>
      <x:color rgb="FFC94A4A"/>
      <x:name val="Microsoft YaHei"/>
    </x:font>
  </x:fonts>
  <x:fills count="9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77E78"/>
      </x:patternFill>
    </x:fill>
    <x:fill>
      <x:patternFill patternType="solid">
        <x:fgColor rgb="FFDDF3E5"/>
      </x:patternFill>
    </x:fill>
    <x:fill>
      <x:patternFill patternType="solid">
        <x:fgColor rgb="FFE8F5F3"/>
      </x:patternFill>
    </x:fill>
    <x:fill>
      <x:patternFill patternType="solid">
        <x:fgColor rgb="FFFFF5DC"/>
      </x:patternFill>
    </x:fill>
    <x:fill>
      <x:patternFill patternType="solid">
        <x:fgColor rgb="FFFDECEC"/>
      </x:patternFill>
    </x:fill>
    <x:fill>
      <x:patternFill patternType="solid">
        <x:fgColor rgb="FFF3F7FA"/>
      </x:patternFill>
    </x:fill>
  </x:fills>
  <x:borders count="10">
    <x:border/>
    <x:border>
      <x:left style="thin">
        <x:color rgb="FFD7E0E7"/>
      </x:left>
      <x:right style="thin">
        <x:color rgb="FFD7E0E7"/>
      </x:right>
      <x:top style="thin">
        <x:color rgb="FFD7E0E7"/>
      </x:top>
      <x:bottom style="thin">
        <x:color rgb="FFD7E0E7"/>
      </x:bottom>
    </x:border>
    <x:border>
      <x:left style="thin">
        <x:color rgb="FFD7E0E7"/>
      </x:left>
      <x:top style="thin">
        <x:color rgb="FFD7E0E7"/>
      </x:top>
    </x:border>
    <x:border>
      <x:top style="thin">
        <x:color rgb="FFD7E0E7"/>
      </x:top>
    </x:border>
    <x:border>
      <x:right style="thin">
        <x:color rgb="FFD7E0E7"/>
      </x:right>
      <x:top style="thin">
        <x:color rgb="FFD7E0E7"/>
      </x:top>
    </x:border>
    <x:border>
      <x:left style="thin">
        <x:color rgb="FFD7E0E7"/>
      </x:left>
      <x:bottom style="thin">
        <x:color rgb="FFD7E0E7"/>
      </x:bottom>
    </x:border>
    <x:border>
      <x:bottom style="thin">
        <x:color rgb="FFD7E0E7"/>
      </x:bottom>
    </x:border>
    <x:border>
      <x:right style="thin">
        <x:color rgb="FFD7E0E7"/>
      </x:right>
      <x:bottom style="thin">
        <x:color rgb="FFD7E0E7"/>
      </x:bottom>
    </x:border>
    <x:border>
      <x:left style="thin">
        <x:color rgb="FFD7E0E7"/>
      </x:left>
    </x:border>
    <x:border>
      <x:right style="thin">
        <x:color rgb="FFD7E0E7"/>
      </x:right>
    </x:border>
  </x:borders>
  <x:cellStyleXfs count="1">
    <x:xf numFmtId="0" fontId="0" fillId="0" borderId="0"/>
  </x:cellStyleXfs>
  <x:cellXfs count="12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horizontal="left" wrapText="1"/>
    </x:xf>
    <x:xf numFmtId="0" fontId="4" fillId="0" borderId="1" xfId="0" applyNumberFormat="1" applyFont="1" applyFill="1" applyBorder="1" applyAlignment="1">
      <x:alignment horizontal="left" vertical="top" wrapText="1"/>
    </x:xf>
    <x:xf numFmtId="200" fontId="4" fillId="0" borderId="1" xfId="0" applyNumberFormat="1" applyFont="1" applyFill="1" applyBorder="1" applyAlignment="1">
      <x:alignment horizontal="left" vertical="top" wrapText="1"/>
    </x:xf>
    <x:xf numFmtId="201" fontId="4" fillId="0" borderId="1" xfId="0" applyNumberFormat="1" applyFont="1" applyFill="1" applyBorder="1" applyAlignment="1">
      <x:alignment horizontal="left" vertical="top" wrapText="1"/>
    </x:xf>
    <x:xf numFmtId="202" fontId="4" fillId="0" borderId="1" xfId="0" applyNumberFormat="1" applyFont="1" applyFill="1" applyBorder="1" applyAlignment="1">
      <x:alignment horizontal="left" vertical="top" wrapText="1"/>
    </x:xf>
    <x:xf numFmtId="203" fontId="4" fillId="0" borderId="1" xfId="0" applyNumberFormat="1" applyFont="1" applyFill="1" applyBorder="1" applyAlignment="1">
      <x:alignment horizontal="left" vertical="top" wrapText="1"/>
    </x:xf>
    <x:xf numFmtId="204" fontId="4" fillId="0" borderId="1" xfId="0" applyNumberFormat="1" applyFont="1" applyFill="1" applyBorder="1" applyAlignment="1">
      <x:alignment horizontal="left" vertical="top" wrapText="1"/>
    </x:xf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horizontal="center" wrapText="1"/>
    </x:xf>
    <x:xf numFmtId="0" fontId="4" fillId="0" borderId="1" xfId="0" applyNumberFormat="1" applyFont="1" applyFill="1" applyBorder="1" applyAlignment="1">
      <x:alignment horizontal="center" vertical="top" wrapText="1"/>
    </x:xf>
    <x:xf numFmtId="201" fontId="4" fillId="0" borderId="1" xfId="0" applyNumberFormat="1" applyFont="1" applyFill="1" applyBorder="1" applyAlignment="1">
      <x:alignment horizontal="center" vertical="top" wrapText="1"/>
    </x:xf>
    <x:xf numFmtId="205" fontId="4" fillId="0" borderId="1" xfId="0" applyNumberFormat="1" applyFont="1" applyFill="1" applyBorder="1" applyAlignment="1">
      <x:alignment horizontal="center" vertical="top" wrapText="1"/>
    </x:xf>
    <x:xf numFmtId="206" fontId="4" fillId="0" borderId="1" xfId="0" applyNumberFormat="1" applyFont="1" applyFill="1" applyBorder="1" applyAlignment="1">
      <x:alignment horizontal="center" vertical="top" wrapText="1"/>
    </x:xf>
    <x:xf numFmtId="0" fontId="0" fillId="3" borderId="0" xfId="0" applyNumberFormat="1" applyFont="1" applyFill="1" applyBorder="1"/>
    <x:xf numFmtId="0" fontId="4" fillId="4" borderId="1" xfId="0" applyNumberFormat="1" applyFont="1" applyFill="1" applyBorder="1" applyAlignment="1">
      <x:alignment horizontal="left" vertical="top" wrapText="1"/>
    </x:xf>
    <x:xf numFmtId="0" fontId="6" fillId="4" borderId="1" xfId="0" applyNumberFormat="1" applyFont="1" applyFill="1" applyBorder="1" applyAlignment="1">
      <x:alignment horizontal="left" vertical="top" wrapText="1"/>
    </x:xf>
    <x:xf numFmtId="0" fontId="6" fillId="4" borderId="1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2" xfId="0" applyNumberFormat="1" applyFont="1" applyFill="1" applyBorder="1"/>
    <x:xf numFmtId="0" fontId="1" fillId="5" borderId="3" xfId="0" applyNumberFormat="1" applyFont="1" applyFill="1" applyBorder="1"/>
    <x:xf numFmtId="0" fontId="1" fillId="5" borderId="4" xfId="0" applyNumberFormat="1" applyFont="1" applyFill="1" applyBorder="1"/>
    <x:xf numFmtId="0" fontId="1" fillId="5" borderId="5" xfId="0" applyNumberFormat="1" applyFont="1" applyFill="1" applyBorder="1"/>
    <x:xf numFmtId="0" fontId="1" fillId="5" borderId="6" xfId="0" applyNumberFormat="1" applyFont="1" applyFill="1" applyBorder="1"/>
    <x:xf numFmtId="0" fontId="1" fillId="5" borderId="7" xfId="0" applyNumberFormat="1" applyFont="1" applyFill="1" applyBorder="1"/>
    <x:xf numFmtId="0" fontId="1" fillId="5" borderId="2" xfId="0" applyNumberFormat="1" applyFont="1" applyFill="1" applyBorder="1" applyAlignment="1">
      <x:alignment wrapText="1"/>
    </x:xf>
    <x:xf numFmtId="0" fontId="1" fillId="5" borderId="3" xfId="0" applyNumberFormat="1" applyFont="1" applyFill="1" applyBorder="1" applyAlignment="1">
      <x:alignment wrapText="1"/>
    </x:xf>
    <x:xf numFmtId="0" fontId="1" fillId="5" borderId="4" xfId="0" applyNumberFormat="1" applyFont="1" applyFill="1" applyBorder="1" applyAlignment="1">
      <x:alignment wrapText="1"/>
    </x:xf>
    <x:xf numFmtId="0" fontId="1" fillId="5" borderId="5" xfId="0" applyNumberFormat="1" applyFont="1" applyFill="1" applyBorder="1" applyAlignment="1">
      <x:alignment wrapText="1"/>
    </x:xf>
    <x:xf numFmtId="0" fontId="1" fillId="5" borderId="6" xfId="0" applyNumberFormat="1" applyFont="1" applyFill="1" applyBorder="1" applyAlignment="1">
      <x:alignment wrapText="1"/>
    </x:xf>
    <x:xf numFmtId="0" fontId="1" fillId="5" borderId="7" xfId="0" applyNumberFormat="1" applyFont="1" applyFill="1" applyBorder="1" applyAlignment="1">
      <x:alignment wrapText="1"/>
    </x:xf>
    <x:xf numFmtId="0" fontId="1" fillId="5" borderId="2" xfId="0" applyNumberFormat="1" applyFont="1" applyFill="1" applyBorder="1" applyAlignment="1">
      <x:alignment vertical="center" wrapText="1"/>
    </x:xf>
    <x:xf numFmtId="0" fontId="1" fillId="5" borderId="3" xfId="0" applyNumberFormat="1" applyFont="1" applyFill="1" applyBorder="1" applyAlignment="1">
      <x:alignment vertical="center" wrapText="1"/>
    </x:xf>
    <x:xf numFmtId="0" fontId="1" fillId="5" borderId="4" xfId="0" applyNumberFormat="1" applyFont="1" applyFill="1" applyBorder="1" applyAlignment="1">
      <x:alignment vertical="center" wrapText="1"/>
    </x:xf>
    <x:xf numFmtId="0" fontId="1" fillId="5" borderId="5" xfId="0" applyNumberFormat="1" applyFont="1" applyFill="1" applyBorder="1" applyAlignment="1">
      <x:alignment vertical="center" wrapText="1"/>
    </x:xf>
    <x:xf numFmtId="0" fontId="1" fillId="5" borderId="6" xfId="0" applyNumberFormat="1" applyFont="1" applyFill="1" applyBorder="1" applyAlignment="1">
      <x:alignment vertical="center" wrapText="1"/>
    </x:xf>
    <x:xf numFmtId="0" fontId="1" fillId="5" borderId="7" xfId="0" applyNumberFormat="1" applyFont="1" applyFill="1" applyBorder="1" applyAlignment="1">
      <x:alignment vertical="center" wrapText="1"/>
    </x:xf>
    <x:xf numFmtId="202" fontId="4" fillId="0" borderId="1" xfId="0" applyNumberFormat="1" applyFont="1" applyFill="1" applyBorder="1" applyAlignment="1">
      <x:alignment horizontal="center" vertical="top" wrapText="1"/>
    </x:xf>
    <x:xf numFmtId="207" fontId="4" fillId="0" borderId="1" xfId="0" applyNumberFormat="1" applyFont="1" applyFill="1" applyBorder="1" applyAlignment="1">
      <x:alignment horizontal="center" vertical="top" wrapText="1"/>
    </x:xf>
    <x:xf numFmtId="203" fontId="4" fillId="0" borderId="1" xfId="0" applyNumberFormat="1" applyFont="1" applyFill="1" applyBorder="1" applyAlignment="1">
      <x:alignment horizontal="center" vertical="top" wrapText="1"/>
    </x:xf>
    <x:xf numFmtId="204" fontId="4" fillId="0" borderId="1" xfId="0" applyNumberFormat="1" applyFont="1" applyFill="1" applyBorder="1" applyAlignment="1">
      <x:alignment horizontal="center" vertical="top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2" xfId="0" applyNumberFormat="1" applyFont="1" applyFill="1" applyBorder="1"/>
    <x:xf numFmtId="0" fontId="7" fillId="6" borderId="3" xfId="0" applyNumberFormat="1" applyFont="1" applyFill="1" applyBorder="1"/>
    <x:xf numFmtId="0" fontId="7" fillId="6" borderId="4" xfId="0" applyNumberFormat="1" applyFont="1" applyFill="1" applyBorder="1"/>
    <x:xf numFmtId="0" fontId="7" fillId="6" borderId="8" xfId="0" applyNumberFormat="1" applyFont="1" applyFill="1" applyBorder="1"/>
    <x:xf numFmtId="0" fontId="7" fillId="6" borderId="9" xfId="0" applyNumberFormat="1" applyFont="1" applyFill="1" applyBorder="1"/>
    <x:xf numFmtId="0" fontId="7" fillId="6" borderId="5" xfId="0" applyNumberFormat="1" applyFont="1" applyFill="1" applyBorder="1"/>
    <x:xf numFmtId="0" fontId="7" fillId="6" borderId="6" xfId="0" applyNumberFormat="1" applyFont="1" applyFill="1" applyBorder="1"/>
    <x:xf numFmtId="0" fontId="7" fillId="6" borderId="7" xfId="0" applyNumberFormat="1" applyFont="1" applyFill="1" applyBorder="1"/>
    <x:xf numFmtId="0" fontId="7" fillId="6" borderId="2" xfId="0" applyNumberFormat="1" applyFont="1" applyFill="1" applyBorder="1" applyAlignment="1">
      <x:alignment wrapText="1"/>
    </x:xf>
    <x:xf numFmtId="0" fontId="7" fillId="6" borderId="3" xfId="0" applyNumberFormat="1" applyFont="1" applyFill="1" applyBorder="1" applyAlignment="1">
      <x:alignment wrapText="1"/>
    </x:xf>
    <x:xf numFmtId="0" fontId="7" fillId="6" borderId="4" xfId="0" applyNumberFormat="1" applyFont="1" applyFill="1" applyBorder="1" applyAlignment="1">
      <x:alignment wrapText="1"/>
    </x:xf>
    <x:xf numFmtId="0" fontId="7" fillId="6" borderId="8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wrapText="1"/>
    </x:xf>
    <x:xf numFmtId="0" fontId="7" fillId="6" borderId="9" xfId="0" applyNumberFormat="1" applyFont="1" applyFill="1" applyBorder="1" applyAlignment="1">
      <x:alignment wrapText="1"/>
    </x:xf>
    <x:xf numFmtId="0" fontId="7" fillId="6" borderId="5" xfId="0" applyNumberFormat="1" applyFont="1" applyFill="1" applyBorder="1" applyAlignment="1">
      <x:alignment wrapText="1"/>
    </x:xf>
    <x:xf numFmtId="0" fontId="7" fillId="6" borderId="6" xfId="0" applyNumberFormat="1" applyFont="1" applyFill="1" applyBorder="1" applyAlignment="1">
      <x:alignment wrapText="1"/>
    </x:xf>
    <x:xf numFmtId="0" fontId="7" fillId="6" borderId="7" xfId="0" applyNumberFormat="1" applyFont="1" applyFill="1" applyBorder="1" applyAlignment="1">
      <x:alignment wrapText="1"/>
    </x:xf>
    <x:xf numFmtId="0" fontId="7" fillId="6" borderId="2" xfId="0" applyNumberFormat="1" applyFont="1" applyFill="1" applyBorder="1" applyAlignment="1">
      <x:alignment vertical="center" wrapText="1"/>
    </x:xf>
    <x:xf numFmtId="0" fontId="7" fillId="6" borderId="3" xfId="0" applyNumberFormat="1" applyFont="1" applyFill="1" applyBorder="1" applyAlignment="1">
      <x:alignment vertical="center" wrapText="1"/>
    </x:xf>
    <x:xf numFmtId="0" fontId="7" fillId="6" borderId="4" xfId="0" applyNumberFormat="1" applyFont="1" applyFill="1" applyBorder="1" applyAlignment="1">
      <x:alignment vertical="center" wrapText="1"/>
    </x:xf>
    <x:xf numFmtId="0" fontId="7" fillId="6" borderId="8" xfId="0" applyNumberFormat="1" applyFont="1" applyFill="1" applyBorder="1" applyAlignment="1">
      <x:alignment vertical="center" wrapText="1"/>
    </x:xf>
    <x:xf numFmtId="0" fontId="7" fillId="6" borderId="0" xfId="0" applyNumberFormat="1" applyFont="1" applyFill="1" applyBorder="1" applyAlignment="1">
      <x:alignment vertical="center" wrapText="1"/>
    </x:xf>
    <x:xf numFmtId="0" fontId="7" fillId="6" borderId="9" xfId="0" applyNumberFormat="1" applyFont="1" applyFill="1" applyBorder="1" applyAlignment="1">
      <x:alignment vertical="center" wrapText="1"/>
    </x:xf>
    <x:xf numFmtId="0" fontId="7" fillId="6" borderId="5" xfId="0" applyNumberFormat="1" applyFont="1" applyFill="1" applyBorder="1" applyAlignment="1">
      <x:alignment vertical="center" wrapText="1"/>
    </x:xf>
    <x:xf numFmtId="0" fontId="7" fillId="6" borderId="6" xfId="0" applyNumberFormat="1" applyFont="1" applyFill="1" applyBorder="1" applyAlignment="1">
      <x:alignment vertical="center" wrapText="1"/>
    </x:xf>
    <x:xf numFmtId="0" fontId="7" fillId="6" borderId="7" xfId="0" applyNumberFormat="1" applyFont="1" applyFill="1" applyBorder="1" applyAlignment="1">
      <x:alignment vertical="center" wrapText="1"/>
    </x:xf>
    <x:xf numFmtId="0" fontId="1" fillId="5" borderId="8" xfId="0" applyNumberFormat="1" applyFont="1" applyFill="1" applyBorder="1"/>
    <x:xf numFmtId="0" fontId="1" fillId="5" borderId="9" xfId="0" applyNumberFormat="1" applyFont="1" applyFill="1" applyBorder="1"/>
    <x:xf numFmtId="0" fontId="1" fillId="5" borderId="8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9" xfId="0" applyNumberFormat="1" applyFont="1" applyFill="1" applyBorder="1" applyAlignment="1">
      <x:alignment wrapText="1"/>
    </x:xf>
    <x:xf numFmtId="0" fontId="1" fillId="5" borderId="8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horizontal="left" vertical="center" wrapText="1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2" xfId="0" applyNumberFormat="1" applyFont="1" applyFill="1" applyBorder="1"/>
    <x:xf numFmtId="0" fontId="8" fillId="7" borderId="3" xfId="0" applyNumberFormat="1" applyFont="1" applyFill="1" applyBorder="1"/>
    <x:xf numFmtId="0" fontId="8" fillId="7" borderId="4" xfId="0" applyNumberFormat="1" applyFont="1" applyFill="1" applyBorder="1"/>
    <x:xf numFmtId="0" fontId="8" fillId="7" borderId="8" xfId="0" applyNumberFormat="1" applyFont="1" applyFill="1" applyBorder="1"/>
    <x:xf numFmtId="0" fontId="8" fillId="7" borderId="9" xfId="0" applyNumberFormat="1" applyFont="1" applyFill="1" applyBorder="1"/>
    <x:xf numFmtId="0" fontId="8" fillId="7" borderId="5" xfId="0" applyNumberFormat="1" applyFont="1" applyFill="1" applyBorder="1"/>
    <x:xf numFmtId="0" fontId="8" fillId="7" borderId="6" xfId="0" applyNumberFormat="1" applyFont="1" applyFill="1" applyBorder="1"/>
    <x:xf numFmtId="0" fontId="8" fillId="7" borderId="7" xfId="0" applyNumberFormat="1" applyFont="1" applyFill="1" applyBorder="1"/>
    <x:xf numFmtId="0" fontId="8" fillId="7" borderId="2" xfId="0" applyNumberFormat="1" applyFont="1" applyFill="1" applyBorder="1" applyAlignment="1">
      <x:alignment wrapText="1"/>
    </x:xf>
    <x:xf numFmtId="0" fontId="8" fillId="7" borderId="3" xfId="0" applyNumberFormat="1" applyFont="1" applyFill="1" applyBorder="1" applyAlignment="1">
      <x:alignment wrapText="1"/>
    </x:xf>
    <x:xf numFmtId="0" fontId="8" fillId="7" borderId="4" xfId="0" applyNumberFormat="1" applyFont="1" applyFill="1" applyBorder="1" applyAlignment="1">
      <x:alignment wrapText="1"/>
    </x:xf>
    <x:xf numFmtId="0" fontId="8" fillId="7" borderId="8" xfId="0" applyNumberFormat="1" applyFont="1" applyFill="1" applyBorder="1" applyAlignment="1">
      <x:alignment wrapText="1"/>
    </x:xf>
    <x:xf numFmtId="0" fontId="8" fillId="7" borderId="0" xfId="0" applyNumberFormat="1" applyFont="1" applyFill="1" applyBorder="1" applyAlignment="1">
      <x:alignment wrapText="1"/>
    </x:xf>
    <x:xf numFmtId="0" fontId="8" fillId="7" borderId="9" xfId="0" applyNumberFormat="1" applyFont="1" applyFill="1" applyBorder="1" applyAlignment="1">
      <x:alignment wrapText="1"/>
    </x:xf>
    <x:xf numFmtId="0" fontId="8" fillId="7" borderId="5" xfId="0" applyNumberFormat="1" applyFont="1" applyFill="1" applyBorder="1" applyAlignment="1">
      <x:alignment wrapText="1"/>
    </x:xf>
    <x:xf numFmtId="0" fontId="8" fillId="7" borderId="6" xfId="0" applyNumberFormat="1" applyFont="1" applyFill="1" applyBorder="1" applyAlignment="1">
      <x:alignment wrapText="1"/>
    </x:xf>
    <x:xf numFmtId="0" fontId="8" fillId="7" borderId="7" xfId="0" applyNumberFormat="1" applyFont="1" applyFill="1" applyBorder="1" applyAlignment="1">
      <x:alignment wrapText="1"/>
    </x:xf>
    <x:xf numFmtId="0" fontId="8" fillId="7" borderId="2" xfId="0" applyNumberFormat="1" applyFont="1" applyFill="1" applyBorder="1" applyAlignment="1">
      <x:alignment vertical="center" wrapText="1"/>
    </x:xf>
    <x:xf numFmtId="0" fontId="8" fillId="7" borderId="3" xfId="0" applyNumberFormat="1" applyFont="1" applyFill="1" applyBorder="1" applyAlignment="1">
      <x:alignment vertical="center" wrapText="1"/>
    </x:xf>
    <x:xf numFmtId="0" fontId="8" fillId="7" borderId="4" xfId="0" applyNumberFormat="1" applyFont="1" applyFill="1" applyBorder="1" applyAlignment="1">
      <x:alignment vertical="center" wrapText="1"/>
    </x:xf>
    <x:xf numFmtId="0" fontId="8" fillId="7" borderId="8" xfId="0" applyNumberFormat="1" applyFont="1" applyFill="1" applyBorder="1" applyAlignment="1">
      <x:alignment vertical="center" wrapText="1"/>
    </x:xf>
    <x:xf numFmtId="0" fontId="8" fillId="7" borderId="0" xfId="0" applyNumberFormat="1" applyFont="1" applyFill="1" applyBorder="1" applyAlignment="1">
      <x:alignment vertical="center" wrapText="1"/>
    </x:xf>
    <x:xf numFmtId="0" fontId="8" fillId="7" borderId="9" xfId="0" applyNumberFormat="1" applyFont="1" applyFill="1" applyBorder="1" applyAlignment="1">
      <x:alignment vertical="center" wrapText="1"/>
    </x:xf>
    <x:xf numFmtId="0" fontId="8" fillId="7" borderId="5" xfId="0" applyNumberFormat="1" applyFont="1" applyFill="1" applyBorder="1" applyAlignment="1">
      <x:alignment vertical="center" wrapText="1"/>
    </x:xf>
    <x:xf numFmtId="0" fontId="8" fillId="7" borderId="6" xfId="0" applyNumberFormat="1" applyFont="1" applyFill="1" applyBorder="1" applyAlignment="1">
      <x:alignment vertical="center" wrapText="1"/>
    </x:xf>
    <x:xf numFmtId="0" fontId="8" fillId="7" borderId="7" xfId="0" applyNumberFormat="1" applyFont="1" applyFill="1" applyBorder="1" applyAlignment="1">
      <x:alignment vertical="center" wrapText="1"/>
    </x:xf>
    <x:xf numFmtId="208" fontId="4" fillId="0" borderId="1" xfId="0" applyNumberFormat="1" applyFont="1" applyFill="1" applyBorder="1" applyAlignment="1">
      <x:alignment horizontal="left" vertical="top"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315041a4134e6f" /><Relationship Type="http://schemas.openxmlformats.org/officeDocument/2006/relationships/theme" Target="/xl/theme/theme1.xml" Id="Rb8fff07e6579430e" /><Relationship Type="http://schemas.openxmlformats.org/officeDocument/2006/relationships/sharedStrings" Target="/xl/sharedStrings.xml" Id="R9f3715be2a964015" /><Relationship Type="http://schemas.openxmlformats.org/officeDocument/2006/relationships/worksheet" Target="/xl/worksheets/sheet1.xml" Id="Rfb4d41555d824029" /><Relationship Type="http://schemas.openxmlformats.org/officeDocument/2006/relationships/worksheet" Target="/xl/worksheets/sheet2.xml" Id="Rda6f45ffe6fa4ab5" /><Relationship Type="http://schemas.openxmlformats.org/officeDocument/2006/relationships/worksheet" Target="/xl/worksheets/sheet3.xml" Id="R5254ab30184740a5" /><Relationship Type="http://schemas.openxmlformats.org/officeDocument/2006/relationships/worksheet" Target="/xl/worksheets/sheet4.xml" Id="R351b2f4236be4fb3" /><Relationship Type="http://schemas.openxmlformats.org/officeDocument/2006/relationships/worksheet" Target="/xl/worksheets/sheet5.xml" Id="R75bbad540e5e431f" /><Relationship Type="http://schemas.openxmlformats.org/officeDocument/2006/relationships/worksheet" Target="/xl/worksheets/sheet6.xml" Id="R6e79e91f64d148a0" /><Relationship Type="http://schemas.openxmlformats.org/officeDocument/2006/relationships/worksheet" Target="/xl/worksheets/sheet7.xml" Id="R37f15945a25c4913" /><Relationship Type="http://schemas.microsoft.com/office/2017/10/relationships/person" Target="/xl/persons/person.xml" Id="Ra902dfa26ae04c8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5d93aeec95e4b3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自动综合分（不含人工可用性）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自动综合分</c:v>
          </c:tx>
          <c:cat>
            <c:strRef>
              <c:f>'对比评分'!$M$4:$M$12</c:f>
              <c:strCache>
                <c:ptCount val="0"/>
              </c:strCache>
            </c:strRef>
          </c:cat>
          <c:val>
            <c:numRef>
              <c:f>'对比评分'!$N$4:$N$12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12</xdr:col>
      <xdr:colOff>0</xdr:colOff>
      <xdr:row>1</xdr:row>
      <xdr:rowOff>0</xdr:rowOff>
    </xdr:from>
    <xdr:to>
      <xdr:col>20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5d93aeec95e4b32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User" id="{5E808D42-FEAF-4564-9DDB-4EDA4259EF20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073f3e162f284e9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8" hidden="0" customWidth="1"/>
    <x:col min="3" max="3" width="4" hidden="0" customWidth="1"/>
    <x:col min="4" max="4" width="25" hidden="0" customWidth="1"/>
    <x:col min="5" max="5" width="20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4" customHeight="1">
      <x:c r="A1" s="5" t="str">
        <x:v>可视化行为树插件：完整验收与显示优化评价</x:v>
      </x:c>
      <x:c r="B1" s="5" t="str">
        <x:v>可视化行为树插件：完整验收与显示优化评价</x:v>
      </x:c>
      <x:c r="C1" s="5" t="str">
        <x:v>可视化行为树插件：完整验收与显示优化评价</x:v>
      </x:c>
      <x:c r="D1" s="5" t="str">
        <x:v>可视化行为树插件：完整验收与显示优化评价</x:v>
      </x:c>
      <x:c r="E1" s="5" t="str">
        <x:v>可视化行为树插件：完整验收与显示优化评价</x:v>
      </x:c>
      <x:c r="F1" s="5" t="str">
        <x:v>可视化行为树插件：完整验收与显示优化评价</x:v>
      </x:c>
      <x:c r="G1" s="5" t="str">
        <x:v>可视化行为树插件：完整验收与显示优化评价</x:v>
      </x:c>
      <x:c r="H1" s="5" t="str">
        <x:v>可视化行为树插件：完整验收与显示优化评价</x:v>
      </x:c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4">
      <x:c r="A4" s="11" t="str">
        <x:v>验收指标</x:v>
      </x:c>
      <x:c r="B4" s="11" t="str">
        <x:v>结果</x:v>
      </x:c>
      <x:c r="D4" s="11" t="str">
        <x:v>研究指标</x:v>
      </x:c>
      <x:c r="E4" s="11" t="str">
        <x:v>结果</x:v>
      </x:c>
    </x:row>
    <x:row r="5">
      <x:c r="A5" s="16" t="str">
        <x:v>自动化断言</x:v>
      </x:c>
      <x:c r="B5" s="17" t="n">
        <x:f>'功能验收'!C11</x:f>
        <x:v>447</x:v>
      </x:c>
      <x:c r="D5" s="16" t="str">
        <x:v>基准树规模</x:v>
      </x:c>
      <x:c r="E5" s="16" t="str">
        <x:v>31 / 121 / 364</x:v>
      </x:c>
    </x:row>
    <x:row r="6">
      <x:c r="A6" s="16" t="str">
        <x:v>运行时/资源</x:v>
      </x:c>
      <x:c r="B6" s="17" t="n">
        <x:f>'功能验收'!C4</x:f>
        <x:v>153</x:v>
      </x:c>
      <x:c r="D6" s="16" t="str">
        <x:v>原始数据行</x:v>
      </x:c>
      <x:c r="E6" s="16" t="n">
        <x:v>84</x:v>
      </x:c>
    </x:row>
    <x:row r="7">
      <x:c r="A7" s="16" t="str">
        <x:v>编辑器 GUI</x:v>
      </x:c>
      <x:c r="B7" s="17" t="n">
        <x:f>'功能验收'!C5</x:f>
        <x:v>185</x:v>
      </x:c>
      <x:c r="D7" s="16" t="str">
        <x:v>显示开关</x:v>
      </x:c>
      <x:c r="E7" s="16" t="n">
        <x:v>19</x:v>
      </x:c>
    </x:row>
    <x:row r="8">
      <x:c r="A8" s="16" t="str">
        <x:v>基础游戏</x:v>
      </x:c>
      <x:c r="B8" s="17" t="n">
        <x:f>'功能验收'!C6</x:f>
        <x:v>13</x:v>
      </x:c>
      <x:c r="D8" s="16" t="str">
        <x:v>真实截图</x:v>
      </x:c>
      <x:c r="E8" s="16" t="str">
        <x:v>17 核心 + 4 实验</x:v>
      </x:c>
    </x:row>
    <x:row r="9">
      <x:c r="A9" s="16" t="str">
        <x:v>复杂竞技场</x:v>
      </x:c>
      <x:c r="B9" s="17" t="n">
        <x:f>'功能验收'!C7</x:f>
        <x:v>26</x:v>
      </x:c>
      <x:c r="D9" s="16" t="str">
        <x:v>Godot 版本</x:v>
      </x:c>
      <x:c r="E9" s="16" t="str">
        <x:v>4.6 stable</x:v>
      </x:c>
    </x:row>
    <x:row r="10">
      <x:c r="A10" s="16" t="str">
        <x:v>真实 GPU 视觉</x:v>
      </x:c>
      <x:c r="B10" s="17" t="n">
        <x:f>'功能验收'!C8</x:f>
        <x:v>70</x:v>
      </x:c>
      <x:c r="D10" s="16" t="str">
        <x:v>报告日期</x:v>
      </x:c>
      <x:c r="E10" s="16" t="str">
        <x:v>2026-08-09</x:v>
      </x:c>
    </x:row>
    <x:row r="12" ht="24" customHeight="1">
      <x:c r="A12" s="24" t="str">
        <x:v>364 节点关键结果</x:v>
      </x:c>
      <x:c r="B12" s="24" t="str">
        <x:v>364 节点关键结果</x:v>
      </x:c>
      <x:c r="C12" s="24" t="str">
        <x:v>364 节点关键结果</x:v>
      </x:c>
      <x:c r="D12" s="24" t="str">
        <x:v>364 节点关键结果</x:v>
      </x:c>
      <x:c r="E12" s="24" t="str">
        <x:v>364 节点关键结果</x:v>
      </x:c>
      <x:c r="F12" s="24" t="str">
        <x:v>364 节点关键结果</x:v>
      </x:c>
      <x:c r="G12" s="24" t="str">
        <x:v>364 节点关键结果</x:v>
      </x:c>
      <x:c r="H12" s="24" t="str">
        <x:v>364 节点关键结果</x:v>
      </x:c>
    </x:row>
    <x:row r="14">
      <x:c r="A14" s="11" t="str">
        <x:v>指标</x:v>
      </x:c>
      <x:c r="B14" s="11" t="str">
        <x:v>实测</x:v>
      </x:c>
      <x:c r="D14" s="48" t="str">
        <x:v>结论：插件已形成“可视化建模、资源保存、运行执行、编辑器 Live Debug、复杂场景验证”的完整闭环。Compact、Focus 和 Collapse 显著降低几何复杂度；Search、Fisheye 与 Minimap 解决不同的定位和细节任务。</x:v>
      </x:c>
      <x:c r="E14" s="49" t="str">
        <x:v>结论：插件已形成“可视化建模、资源保存、运行执行、编辑器 Live Debug、复杂场景验证”的完整闭环。Compact、Focus 和 Collapse 显著降低几何复杂度；Search、Fisheye 与 Minimap 解决不同的定位和细节任务。</x:v>
      </x:c>
      <x:c r="F14" s="49" t="str">
        <x:v>结论：插件已形成“可视化建模、资源保存、运行执行、编辑器 Live Debug、复杂场景验证”的完整闭环。Compact、Focus 和 Collapse 显著降低几何复杂度；Search、Fisheye 与 Minimap 解决不同的定位和细节任务。</x:v>
      </x:c>
      <x:c r="G14" s="49" t="str">
        <x:v>结论：插件已形成“可视化建模、资源保存、运行执行、编辑器 Live Debug、复杂场景验证”的完整闭环。Compact、Focus 和 Collapse 显著降低几何复杂度；Search、Fisheye 与 Minimap 解决不同的定位和细节任务。</x:v>
      </x:c>
      <x:c r="H14" s="50" t="str">
        <x:v>结论：插件已形成“可视化建模、资源保存、运行执行、编辑器 Live Debug、复杂场景验证”的完整闭环。Compact、Focus 和 Collapse 显著降低几何复杂度；Search、Fisheye 与 Minimap 解决不同的定位和细节任务。</x:v>
      </x:c>
    </x:row>
    <x:row r="15">
      <x:c r="A15" s="16" t="str">
        <x:v>Compact 卡片面积降幅</x:v>
      </x:c>
      <x:c r="B15" s="18" t="n">
        <x:f>1-'对比评分'!C5/'对比评分'!C4</x:f>
        <x:v>0.5588266666666667</x:v>
      </x:c>
      <x:c r="D15" s="91" t="str">
        <x:v>结论：插件已形成“可视化建模、资源保存、运行执行、编辑器 Live Debug、复杂场景验证”的完整闭环。Compact、Focus 和 Collapse 显著降低几何复杂度；Search、Fisheye 与 Minimap 解决不同的定位和细节任务。</x:v>
      </x:c>
      <x:c r="E15" s="92" t="str">
        <x:v>结论：插件已形成“可视化建模、资源保存、运行执行、编辑器 Live Debug、复杂场景验证”的完整闭环。Compact、Focus 和 Collapse 显著降低几何复杂度；Search、Fisheye 与 Minimap 解决不同的定位和细节任务。</x:v>
      </x:c>
      <x:c r="F15" s="92" t="str">
        <x:v>结论：插件已形成“可视化建模、资源保存、运行执行、编辑器 Live Debug、复杂场景验证”的完整闭环。Compact、Focus 和 Collapse 显著降低几何复杂度；Search、Fisheye 与 Minimap 解决不同的定位和细节任务。</x:v>
      </x:c>
      <x:c r="G15" s="92" t="str">
        <x:v>结论：插件已形成“可视化建模、资源保存、运行执行、编辑器 Live Debug、复杂场景验证”的完整闭环。Compact、Focus 和 Collapse 显著降低几何复杂度；Search、Fisheye 与 Minimap 解决不同的定位和细节任务。</x:v>
      </x:c>
      <x:c r="H15" s="93" t="str">
        <x:v>结论：插件已形成“可视化建模、资源保存、运行执行、编辑器 Live Debug、复杂场景验证”的完整闭环。Compact、Focus 和 Collapse 显著降低几何复杂度；Search、Fisheye 与 Minimap 解决不同的定位和细节任务。</x:v>
      </x:c>
    </x:row>
    <x:row r="16">
      <x:c r="A16" s="16" t="str">
        <x:v>Semantic 信息字段降幅</x:v>
      </x:c>
      <x:c r="B16" s="18" t="n">
        <x:f>1-'对比评分'!D6/'对比评分'!D4</x:f>
        <x:v>0.8333333333333334</x:v>
      </x:c>
      <x:c r="D16" s="91" t="str">
        <x:v>结论：插件已形成“可视化建模、资源保存、运行执行、编辑器 Live Debug、复杂场景验证”的完整闭环。Compact、Focus 和 Collapse 显著降低几何复杂度；Search、Fisheye 与 Minimap 解决不同的定位和细节任务。</x:v>
      </x:c>
      <x:c r="E16" s="92" t="str">
        <x:v>结论：插件已形成“可视化建模、资源保存、运行执行、编辑器 Live Debug、复杂场景验证”的完整闭环。Compact、Focus 和 Collapse 显著降低几何复杂度；Search、Fisheye 与 Minimap 解决不同的定位和细节任务。</x:v>
      </x:c>
      <x:c r="F16" s="92" t="str">
        <x:v>结论：插件已形成“可视化建模、资源保存、运行执行、编辑器 Live Debug、复杂场景验证”的完整闭环。Compact、Focus 和 Collapse 显著降低几何复杂度；Search、Fisheye 与 Minimap 解决不同的定位和细节任务。</x:v>
      </x:c>
      <x:c r="G16" s="92" t="str">
        <x:v>结论：插件已形成“可视化建模、资源保存、运行执行、编辑器 Live Debug、复杂场景验证”的完整闭环。Compact、Focus 和 Collapse 显著降低几何复杂度；Search、Fisheye 与 Minimap 解决不同的定位和细节任务。</x:v>
      </x:c>
      <x:c r="H16" s="93" t="str">
        <x:v>结论：插件已形成“可视化建模、资源保存、运行执行、编辑器 Live Debug、复杂场景验证”的完整闭环。Compact、Focus 和 Collapse 显著降低几何复杂度；Search、Fisheye 与 Minimap 解决不同的定位和细节任务。</x:v>
      </x:c>
    </x:row>
    <x:row r="17">
      <x:c r="A17" s="16" t="str">
        <x:v>Search 降噪比例</x:v>
      </x:c>
      <x:c r="B17" s="18" t="n">
        <x:f>'对比评分'!E7</x:f>
        <x:v>0.9972527472527473</x:v>
      </x:c>
      <x:c r="D17" s="91" t="str">
        <x:v>结论：插件已形成“可视化建模、资源保存、运行执行、编辑器 Live Debug、复杂场景验证”的完整闭环。Compact、Focus 和 Collapse 显著降低几何复杂度；Search、Fisheye 与 Minimap 解决不同的定位和细节任务。</x:v>
      </x:c>
      <x:c r="E17" s="92" t="str">
        <x:v>结论：插件已形成“可视化建模、资源保存、运行执行、编辑器 Live Debug、复杂场景验证”的完整闭环。Compact、Focus 和 Collapse 显著降低几何复杂度；Search、Fisheye 与 Minimap 解决不同的定位和细节任务。</x:v>
      </x:c>
      <x:c r="F17" s="92" t="str">
        <x:v>结论：插件已形成“可视化建模、资源保存、运行执行、编辑器 Live Debug、复杂场景验证”的完整闭环。Compact、Focus 和 Collapse 显著降低几何复杂度；Search、Fisheye 与 Minimap 解决不同的定位和细节任务。</x:v>
      </x:c>
      <x:c r="G17" s="92" t="str">
        <x:v>结论：插件已形成“可视化建模、资源保存、运行执行、编辑器 Live Debug、复杂场景验证”的完整闭环。Compact、Focus 和 Collapse 显著降低几何复杂度；Search、Fisheye 与 Minimap 解决不同的定位和细节任务。</x:v>
      </x:c>
      <x:c r="H17" s="93" t="str">
        <x:v>结论：插件已形成“可视化建模、资源保存、运行执行、编辑器 Live Debug、复杂场景验证”的完整闭环。Compact、Focus 和 Collapse 显著降低几何复杂度；Search、Fisheye 与 Minimap 解决不同的定位和细节任务。</x:v>
      </x:c>
    </x:row>
    <x:row r="18">
      <x:c r="A18" s="16" t="str">
        <x:v>Subtree Focus 可见节点降幅</x:v>
      </x:c>
      <x:c r="B18" s="18" t="n">
        <x:f>'对比评分'!H8</x:f>
        <x:v>0.97527472527473</x:v>
      </x:c>
      <x:c r="D18" s="51" t="str">
        <x:v>结论：插件已形成“可视化建模、资源保存、运行执行、编辑器 Live Debug、复杂场景验证”的完整闭环。Compact、Focus 和 Collapse 显著降低几何复杂度；Search、Fisheye 与 Minimap 解决不同的定位和细节任务。</x:v>
      </x:c>
      <x:c r="E18" s="52" t="str">
        <x:v>结论：插件已形成“可视化建模、资源保存、运行执行、编辑器 Live Debug、复杂场景验证”的完整闭环。Compact、Focus 和 Collapse 显著降低几何复杂度；Search、Fisheye 与 Minimap 解决不同的定位和细节任务。</x:v>
      </x:c>
      <x:c r="F18" s="52" t="str">
        <x:v>结论：插件已形成“可视化建模、资源保存、运行执行、编辑器 Live Debug、复杂场景验证”的完整闭环。Compact、Focus 和 Collapse 显著降低几何复杂度；Search、Fisheye 与 Minimap 解决不同的定位和细节任务。</x:v>
      </x:c>
      <x:c r="G18" s="52" t="str">
        <x:v>结论：插件已形成“可视化建模、资源保存、运行执行、编辑器 Live Debug、复杂场景验证”的完整闭环。Compact、Focus 和 Collapse 显著降低几何复杂度；Search、Fisheye 与 Minimap 解决不同的定位和细节任务。</x:v>
      </x:c>
      <x:c r="H18" s="53" t="str">
        <x:v>结论：插件已形成“可视化建模、资源保存、运行执行、编辑器 Live Debug、复杂场景验证”的完整闭环。Compact、Focus 和 Collapse 显著降低几何复杂度；Search、Fisheye 与 Minimap 解决不同的定位和细节任务。</x:v>
      </x:c>
    </x:row>
    <x:row r="19">
      <x:c r="A19" s="16" t="str">
        <x:v>Subtree Collapse 可见节点降幅</x:v>
      </x:c>
      <x:c r="B19" s="18" t="n">
        <x:f>'对比评分'!H9</x:f>
        <x:v>0.99450549450549</x:v>
      </x:c>
    </x:row>
    <x:row r="20">
      <x:c r="A20" s="16" t="str">
        <x:v>Fisheye 局部倍率</x:v>
      </x:c>
      <x:c r="B20" s="20" t="n">
        <x:f>'对比评分'!F10</x:f>
        <x:v>1.2</x:v>
      </x:c>
      <x:c r="D20" s="77" t="str">
        <x:v>解释边界：面积、可见节点和信息字段变化不等于人类可读性已经提升。协议、固定树、Live Debug 快照和 270 行独立工作簿已完成；正式论文结论仍需 8–15 名参与者真实完成实验。</x:v>
      </x:c>
      <x:c r="E20" s="78" t="str">
        <x:v>解释边界：面积、可见节点和信息字段变化不等于人类可读性已经提升。协议、固定树、Live Debug 快照和 270 行独立工作簿已完成；正式论文结论仍需 8–15 名参与者真实完成实验。</x:v>
      </x:c>
      <x:c r="F20" s="78" t="str">
        <x:v>解释边界：面积、可见节点和信息字段变化不等于人类可读性已经提升。协议、固定树、Live Debug 快照和 270 行独立工作簿已完成；正式论文结论仍需 8–15 名参与者真实完成实验。</x:v>
      </x:c>
      <x:c r="G20" s="78" t="str">
        <x:v>解释边界：面积、可见节点和信息字段变化不等于人类可读性已经提升。协议、固定树、Live Debug 快照和 270 行独立工作簿已完成；正式论文结论仍需 8–15 名参与者真实完成实验。</x:v>
      </x:c>
      <x:c r="H20" s="79" t="str">
        <x:v>解释边界：面积、可见节点和信息字段变化不等于人类可读性已经提升。协议、固定树、Live Debug 快照和 270 行独立工作簿已完成；正式论文结论仍需 8–15 名参与者真实完成实验。</x:v>
      </x:c>
    </x:row>
    <x:row r="21">
      <x:c r="A21" s="16" t="str">
        <x:v>Branch Dimming 淡化比例</x:v>
      </x:c>
      <x:c r="B21" s="18" t="n">
        <x:f>'原始数据'!N6</x:f>
        <x:v>0.99175824175824</x:v>
      </x:c>
      <x:c r="D21" s="80" t="str">
        <x:v>解释边界：面积、可见节点和信息字段变化不等于人类可读性已经提升。协议、固定树、Live Debug 快照和 270 行独立工作簿已完成；正式论文结论仍需 8–15 名参与者真实完成实验。</x:v>
      </x:c>
      <x:c r="E21" s="81" t="str">
        <x:v>解释边界：面积、可见节点和信息字段变化不等于人类可读性已经提升。协议、固定树、Live Debug 快照和 270 行独立工作簿已完成；正式论文结论仍需 8–15 名参与者真实完成实验。</x:v>
      </x:c>
      <x:c r="F21" s="81" t="str">
        <x:v>解释边界：面积、可见节点和信息字段变化不等于人类可读性已经提升。协议、固定树、Live Debug 快照和 270 行独立工作簿已完成；正式论文结论仍需 8–15 名参与者真实完成实验。</x:v>
      </x:c>
      <x:c r="G21" s="81" t="str">
        <x:v>解释边界：面积、可见节点和信息字段变化不等于人类可读性已经提升。协议、固定树、Live Debug 快照和 270 行独立工作簿已完成；正式论文结论仍需 8–15 名参与者真实完成实验。</x:v>
      </x:c>
      <x:c r="H21" s="82" t="str">
        <x:v>解释边界：面积、可见节点和信息字段变化不等于人类可读性已经提升。协议、固定树、Live Debug 快照和 270 行独立工作簿已完成；正式论文结论仍需 8–15 名参与者真实完成实验。</x:v>
      </x:c>
    </x:row>
    <x:row r="22">
      <x:c r="A22" s="16" t="str">
        <x:v>Enhanced Minimap 覆盖率</x:v>
      </x:c>
      <x:c r="B22" s="18" t="n">
        <x:f>'原始数据'!M14</x:f>
        <x:v>1</x:v>
      </x:c>
      <x:c r="D22" s="80" t="str">
        <x:v>解释边界：面积、可见节点和信息字段变化不等于人类可读性已经提升。协议、固定树、Live Debug 快照和 270 行独立工作簿已完成；正式论文结论仍需 8–15 名参与者真实完成实验。</x:v>
      </x:c>
      <x:c r="E22" s="81" t="str">
        <x:v>解释边界：面积、可见节点和信息字段变化不等于人类可读性已经提升。协议、固定树、Live Debug 快照和 270 行独立工作簿已完成；正式论文结论仍需 8–15 名参与者真实完成实验。</x:v>
      </x:c>
      <x:c r="F22" s="81" t="str">
        <x:v>解释边界：面积、可见节点和信息字段变化不等于人类可读性已经提升。协议、固定树、Live Debug 快照和 270 行独立工作簿已完成；正式论文结论仍需 8–15 名参与者真实完成实验。</x:v>
      </x:c>
      <x:c r="G22" s="81" t="str">
        <x:v>解释边界：面积、可见节点和信息字段变化不等于人类可读性已经提升。协议、固定树、Live Debug 快照和 270 行独立工作簿已完成；正式论文结论仍需 8–15 名参与者真实完成实验。</x:v>
      </x:c>
      <x:c r="H22" s="82" t="str">
        <x:v>解释边界：面积、可见节点和信息字段变化不等于人类可读性已经提升。协议、固定树、Live Debug 快照和 270 行独立工作簿已完成；正式论文结论仍需 8–15 名参与者真实完成实验。</x:v>
      </x:c>
    </x:row>
    <x:row r="23">
      <x:c r="D23" s="83" t="str">
        <x:v>解释边界：面积、可见节点和信息字段变化不等于人类可读性已经提升。协议、固定树、Live Debug 快照和 270 行独立工作簿已完成；正式论文结论仍需 8–15 名参与者真实完成实验。</x:v>
      </x:c>
      <x:c r="E23" s="84" t="str">
        <x:v>解释边界：面积、可见节点和信息字段变化不等于人类可读性已经提升。协议、固定树、Live Debug 快照和 270 行独立工作簿已完成；正式论文结论仍需 8–15 名参与者真实完成实验。</x:v>
      </x:c>
      <x:c r="F23" s="84" t="str">
        <x:v>解释边界：面积、可见节点和信息字段变化不等于人类可读性已经提升。协议、固定树、Live Debug 快照和 270 行独立工作簿已完成；正式论文结论仍需 8–15 名参与者真实完成实验。</x:v>
      </x:c>
      <x:c r="G23" s="84" t="str">
        <x:v>解释边界：面积、可见节点和信息字段变化不等于人类可读性已经提升。协议、固定树、Live Debug 快照和 270 行独立工作簿已完成；正式论文结论仍需 8–15 名参与者真实完成实验。</x:v>
      </x:c>
      <x:c r="H23" s="85" t="str">
        <x:v>解释边界：面积、可见节点和信息字段变化不等于人类可读性已经提升。协议、固定树、Live Debug 快照和 270 行独立工作簿已完成；正式论文结论仍需 8–15 名参与者真实完成实验。</x:v>
      </x:c>
    </x:row>
  </x:sheetData>
  <x:mergeCells>
    <x:mergeCell ref="A1:H1"/>
    <x:mergeCell ref="A12:H12"/>
    <x:mergeCell ref="D14:H18"/>
    <x:mergeCell ref="D20:H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1" hidden="0" customWidth="1"/>
    <x:col min="3" max="3" width="11" hidden="0" customWidth="1"/>
    <x:col min="4" max="4" width="11" hidden="0" customWidth="1"/>
    <x:col min="5" max="5" width="52" hidden="0" customWidth="1"/>
    <x:col min="6" max="6" width="34" hidden="0" customWidth="1"/>
    <x:col min="7" max="7" width="15" hidden="0" customWidth="1"/>
  </x:cols>
  <x:sheetData>
    <x:row r="1" ht="34" customHeight="1">
      <x:c r="A1" s="5" t="str">
        <x:v>功能验收矩阵</x:v>
      </x:c>
      <x:c r="B1" s="5" t="str">
        <x:v>功能验收矩阵</x:v>
      </x:c>
      <x:c r="C1" s="5" t="str">
        <x:v>功能验收矩阵</x:v>
      </x:c>
      <x:c r="D1" s="5" t="str">
        <x:v>功能验收矩阵</x:v>
      </x:c>
      <x:c r="E1" s="5" t="str">
        <x:v>功能验收矩阵</x:v>
      </x:c>
      <x:c r="F1" s="5" t="str">
        <x:v>功能验收矩阵</x:v>
      </x:c>
      <x:c r="G1" s="5" t="str">
        <x:v>功能验收矩阵</x:v>
      </x:c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3">
      <x:c r="A3" s="11" t="str">
        <x:v>测试层</x:v>
      </x:c>
      <x:c r="B3" s="11" t="str">
        <x:v>断言数</x:v>
      </x:c>
      <x:c r="C3" s="11" t="str">
        <x:v>通过数</x:v>
      </x:c>
      <x:c r="D3" s="11" t="str">
        <x:v>结果</x:v>
      </x:c>
      <x:c r="E3" s="11" t="str">
        <x:v>主要覆盖</x:v>
      </x:c>
      <x:c r="F3" s="11" t="str">
        <x:v>证据</x:v>
      </x:c>
      <x:c r="G3" s="11" t="str">
        <x:v>日期</x:v>
      </x:c>
    </x:row>
    <x:row r="4" ht="44" customHeight="1">
      <x:c r="A4" s="16" t="str">
        <x:v>资源与运行时</x:v>
      </x:c>
      <x:c r="B4" s="16" t="n">
        <x:v>153</x:v>
      </x:c>
      <x:c r="C4" s="16" t="n">
        <x:v>153</x:v>
      </x:c>
      <x:c r="D4" s="33" t="str">
        <x:v>通过</x:v>
      </x:c>
      <x:c r="E4" s="16" t="str">
        <x:v>10 种节点、Decorator、Schema 引用、Actor、状态机、调试桥</x:v>
      </x:c>
      <x:c r="F4" s="16" t="str">
        <x:v>run_behavior_tree_tests.gd</x:v>
      </x:c>
      <x:c r="G4" s="16" t="str">
        <x:v>2026-08-09</x:v>
      </x:c>
    </x:row>
    <x:row r="5" ht="44" customHeight="1">
      <x:c r="A5" s="16" t="str">
        <x:v>编辑器 GUI</x:v>
      </x:c>
      <x:c r="B5" s="16" t="n">
        <x:v>185</x:v>
      </x:c>
      <x:c r="C5" s="16" t="n">
        <x:v>185</x:v>
      </x:c>
      <x:c r="D5" s="33" t="str">
        <x:v>通过</x:v>
      </x:c>
      <x:c r="E5" s="16" t="str">
        <x:v>建模、历史、Schema key picker、Live Blackboard、19 项开关、单线交互与路径布局</x:v>
      </x:c>
      <x:c r="F5" s="16" t="str">
        <x:v>run_editor_view_tests.gd</x:v>
      </x:c>
      <x:c r="G5" s="16" t="str">
        <x:v>2026-08-09</x:v>
      </x:c>
    </x:row>
    <x:row r="6" ht="44" customHeight="1">
      <x:c r="A6" s="16" t="str">
        <x:v>基础游戏</x:v>
      </x:c>
      <x:c r="B6" s="16" t="n">
        <x:v>13</x:v>
      </x:c>
      <x:c r="C6" s="16" t="n">
        <x:v>13</x:v>
      </x:c>
      <x:c r="D6" s="33" t="str">
        <x:v>通过</x:v>
      </x:c>
      <x:c r="E6" s="16" t="str">
        <x:v>3 个敌人、伤害、巡逻、死亡重生、Runner 生命周期</x:v>
      </x:c>
      <x:c r="F6" s="16" t="str">
        <x:v>run_game_integration_tests.gd</x:v>
      </x:c>
      <x:c r="G6" s="16" t="str">
        <x:v>2026-08-09</x:v>
      </x:c>
    </x:row>
    <x:row r="7" ht="44" customHeight="1">
      <x:c r="A7" s="16" t="str">
        <x:v>复杂竞技场</x:v>
      </x:c>
      <x:c r="B7" s="16" t="n">
        <x:v>26</x:v>
      </x:c>
      <x:c r="C7" s="16" t="n">
        <x:v>26</x:v>
      </x:c>
      <x:c r="D7" s="33" t="str">
        <x:v>通过</x:v>
      </x:c>
      <x:c r="E7" s="16" t="str">
        <x:v>索敌、追击、攻击、搜索、撤退、治疗、新节点和 11 键 Schema</x:v>
      </x:c>
      <x:c r="F7" s="16" t="str">
        <x:v>run_complex_arena_tests.gd</x:v>
      </x:c>
      <x:c r="G7" s="16" t="str">
        <x:v>2026-08-09</x:v>
      </x:c>
    </x:row>
    <x:row r="8" ht="44" customHeight="1">
      <x:c r="A8" s="16" t="str">
        <x:v>真实 GPU 视觉</x:v>
      </x:c>
      <x:c r="B8" s="16" t="n">
        <x:v>70</x:v>
      </x:c>
      <x:c r="C8" s="16" t="n">
        <x:v>70</x:v>
      </x:c>
      <x:c r="D8" s="33" t="str">
        <x:v>通过</x:v>
      </x:c>
      <x:c r="E8" s="16" t="str">
        <x:v>17 张核心 1600x900 截图、灰度、无障碍、单线、Schema key picker 与复杂树</x:v>
      </x:c>
      <x:c r="F8" s="16" t="str">
        <x:v>run_visual_regression_tests.gd</x:v>
      </x:c>
      <x:c r="G8" s="16" t="str">
        <x:v>2026-08-09</x:v>
      </x:c>
    </x:row>
    <x:row r="10">
      <x:c r="A10" s="11" t="str">
        <x:v>合计</x:v>
      </x:c>
      <x:c r="B10" s="11" t="str">
        <x:v>断言</x:v>
      </x:c>
      <x:c r="C10" s="11" t="str">
        <x:v>通过</x:v>
      </x:c>
    </x:row>
    <x:row r="11">
      <x:c r="A11" s="26" t="str">
        <x:v>自动化总计</x:v>
      </x:c>
      <x:c r="B11" s="26" t="n">
        <x:f>SUM('功能验收'!B4:B8)</x:f>
        <x:v>447</x:v>
      </x:c>
      <x:c r="C11" s="26" t="n">
        <x:f>SUM('功能验收'!C4:C8)</x:f>
        <x:v>447</x:v>
      </x:c>
    </x:row>
    <x:row r="13">
      <x:c r="A13" s="48" t="str">
        <x:v>严格判定：非零退出码、FAIL、ERROR、SCRIPT ERROR、对象泄漏、原生崩溃或非法内存访问均判定失败。另有人工实验固定场景 GPU 21/21、性能 511/511、发布包 53/53、180 物理帧烟雾测试与三个项目启动检查；最终日志扫描未发现真实错误。</x:v>
      </x:c>
      <x:c r="B13" s="49" t="str">
        <x:v>严格判定：非零退出码、FAIL、ERROR、SCRIPT ERROR、对象泄漏、原生崩溃或非法内存访问均判定失败。另有人工实验固定场景 GPU 21/21、性能 511/511、发布包 53/53、180 物理帧烟雾测试与三个项目启动检查；最终日志扫描未发现真实错误。</x:v>
      </x:c>
      <x:c r="C13" s="49" t="str">
        <x:v>严格判定：非零退出码、FAIL、ERROR、SCRIPT ERROR、对象泄漏、原生崩溃或非法内存访问均判定失败。另有人工实验固定场景 GPU 21/21、性能 511/511、发布包 53/53、180 物理帧烟雾测试与三个项目启动检查；最终日志扫描未发现真实错误。</x:v>
      </x:c>
      <x:c r="D13" s="49" t="str">
        <x:v>严格判定：非零退出码、FAIL、ERROR、SCRIPT ERROR、对象泄漏、原生崩溃或非法内存访问均判定失败。另有人工实验固定场景 GPU 21/21、性能 511/511、发布包 53/53、180 物理帧烟雾测试与三个项目启动检查；最终日志扫描未发现真实错误。</x:v>
      </x:c>
      <x:c r="E13" s="49" t="str">
        <x:v>严格判定：非零退出码、FAIL、ERROR、SCRIPT ERROR、对象泄漏、原生崩溃或非法内存访问均判定失败。另有人工实验固定场景 GPU 21/21、性能 511/511、发布包 53/53、180 物理帧烟雾测试与三个项目启动检查；最终日志扫描未发现真实错误。</x:v>
      </x:c>
      <x:c r="F13" s="49" t="str">
        <x:v>严格判定：非零退出码、FAIL、ERROR、SCRIPT ERROR、对象泄漏、原生崩溃或非法内存访问均判定失败。另有人工实验固定场景 GPU 21/21、性能 511/511、发布包 53/53、180 物理帧烟雾测试与三个项目启动检查；最终日志扫描未发现真实错误。</x:v>
      </x:c>
      <x:c r="G13" s="50" t="str">
        <x:v>严格判定：非零退出码、FAIL、ERROR、SCRIPT ERROR、对象泄漏、原生崩溃或非法内存访问均判定失败。另有人工实验固定场景 GPU 21/21、性能 511/511、发布包 53/53、180 物理帧烟雾测试与三个项目启动检查；最终日志扫描未发现真实错误。</x:v>
      </x:c>
    </x:row>
    <x:row r="14">
      <x:c r="A14" s="51" t="str">
        <x:v>严格判定：非零退出码、FAIL、ERROR、SCRIPT ERROR、对象泄漏、原生崩溃或非法内存访问均判定失败。另有人工实验固定场景 GPU 21/21、性能 511/511、发布包 53/53、180 物理帧烟雾测试与三个项目启动检查；最终日志扫描未发现真实错误。</x:v>
      </x:c>
      <x:c r="B14" s="52" t="str">
        <x:v>严格判定：非零退出码、FAIL、ERROR、SCRIPT ERROR、对象泄漏、原生崩溃或非法内存访问均判定失败。另有人工实验固定场景 GPU 21/21、性能 511/511、发布包 53/53、180 物理帧烟雾测试与三个项目启动检查；最终日志扫描未发现真实错误。</x:v>
      </x:c>
      <x:c r="C14" s="52" t="str">
        <x:v>严格判定：非零退出码、FAIL、ERROR、SCRIPT ERROR、对象泄漏、原生崩溃或非法内存访问均判定失败。另有人工实验固定场景 GPU 21/21、性能 511/511、发布包 53/53、180 物理帧烟雾测试与三个项目启动检查；最终日志扫描未发现真实错误。</x:v>
      </x:c>
      <x:c r="D14" s="52" t="str">
        <x:v>严格判定：非零退出码、FAIL、ERROR、SCRIPT ERROR、对象泄漏、原生崩溃或非法内存访问均判定失败。另有人工实验固定场景 GPU 21/21、性能 511/511、发布包 53/53、180 物理帧烟雾测试与三个项目启动检查；最终日志扫描未发现真实错误。</x:v>
      </x:c>
      <x:c r="E14" s="52" t="str">
        <x:v>严格判定：非零退出码、FAIL、ERROR、SCRIPT ERROR、对象泄漏、原生崩溃或非法内存访问均判定失败。另有人工实验固定场景 GPU 21/21、性能 511/511、发布包 53/53、180 物理帧烟雾测试与三个项目启动检查；最终日志扫描未发现真实错误。</x:v>
      </x:c>
      <x:c r="F14" s="52" t="str">
        <x:v>严格判定：非零退出码、FAIL、ERROR、SCRIPT ERROR、对象泄漏、原生崩溃或非法内存访问均判定失败。另有人工实验固定场景 GPU 21/21、性能 511/511、发布包 53/53、180 物理帧烟雾测试与三个项目启动检查；最终日志扫描未发现真实错误。</x:v>
      </x:c>
      <x:c r="G14" s="53" t="str">
        <x:v>严格判定：非零退出码、FAIL、ERROR、SCRIPT ERROR、对象泄漏、原生崩溃或非法内存访问均判定失败。另有人工实验固定场景 GPU 21/21、性能 511/511、发布包 53/53、180 物理帧烟雾测试与三个项目启动检查；最终日志扫描未发现真实错误。</x:v>
      </x:c>
    </x:row>
  </x:sheetData>
  <x:mergeCells>
    <x:mergeCell ref="A1:G1"/>
    <x:mergeCell ref="A13:G1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4" hidden="0" customWidth="1"/>
    <x:col min="3" max="3" width="14" hidden="0" customWidth="1"/>
    <x:col min="4" max="4" width="46" hidden="0" customWidth="1"/>
    <x:col min="5" max="5" width="25" hidden="0" customWidth="1"/>
    <x:col min="6" max="6" width="28" hidden="0" customWidth="1"/>
    <x:col min="7" max="7" width="11" hidden="0" customWidth="1"/>
    <x:col min="8" max="8" width="34" hidden="0" customWidth="1"/>
  </x:cols>
  <x:sheetData>
    <x:row r="1" ht="34" customHeight="1">
      <x:c r="A1" s="5" t="str">
        <x:v>显示优化功能（19 项独立开关）</x:v>
      </x:c>
      <x:c r="B1" s="5" t="str">
        <x:v>显示优化功能（19 项独立开关）</x:v>
      </x:c>
      <x:c r="C1" s="5" t="str">
        <x:v>显示优化功能（19 项独立开关）</x:v>
      </x:c>
      <x:c r="D1" s="5" t="str">
        <x:v>显示优化功能（19 项独立开关）</x:v>
      </x:c>
      <x:c r="E1" s="5" t="str">
        <x:v>显示优化功能（19 项独立开关）</x:v>
      </x:c>
      <x:c r="F1" s="5" t="str">
        <x:v>显示优化功能（19 项独立开关）</x:v>
      </x:c>
      <x:c r="G1" s="5" t="str">
        <x:v>显示优化功能（19 项独立开关）</x:v>
      </x:c>
      <x:c r="H1" s="5" t="str">
        <x:v>显示优化功能（19 项独立开关）</x:v>
      </x:c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3">
      <x:c r="A3" s="11" t="str">
        <x:v>功能</x:v>
      </x:c>
      <x:c r="B3" s="11" t="str">
        <x:v>类别</x:v>
      </x:c>
      <x:c r="C3" s="11" t="str">
        <x:v>默认</x:v>
      </x:c>
      <x:c r="D3" s="11" t="str">
        <x:v>主要作用</x:v>
      </x:c>
      <x:c r="E3" s="11" t="str">
        <x:v>适用场景</x:v>
      </x:c>
      <x:c r="F3" s="11" t="str">
        <x:v>自动/视觉验证</x:v>
      </x:c>
      <x:c r="G3" s="11" t="str">
        <x:v>状态</x:v>
      </x:c>
      <x:c r="H3" s="11" t="str">
        <x:v>限制/代价</x:v>
      </x:c>
    </x:row>
    <x:row r="4" ht="48" customHeight="1">
      <x:c r="A4" s="16" t="str">
        <x:v>Fisheye / Focus+Context</x:v>
      </x:c>
      <x:c r="B4" s="16" t="str">
        <x:v>局部细节</x:v>
      </x:c>
      <x:c r="C4" s="16" t="str">
        <x:v>开启</x:v>
      </x:c>
      <x:c r="D4" s="16" t="str">
        <x:v>鼠标邻域内部放大并保留全局上下文</x:v>
      </x:c>
      <x:c r="E4" s="16" t="str">
        <x:v>精读邻近节点</x:v>
      </x:c>
      <x:c r="F4" s="16" t="str">
        <x:v>倍率、恢复截图</x:v>
      </x:c>
      <x:c r="G4" s="33" t="str">
        <x:v>通过</x:v>
      </x:c>
      <x:c r="H4" s="16" t="str">
        <x:v>大树持续更新有少量渲染成本</x:v>
      </x:c>
    </x:row>
    <x:row r="5" ht="48" customHeight="1">
      <x:c r="A5" s="16" t="str">
        <x:v>Subtree Collapse / Expand</x:v>
      </x:c>
      <x:c r="B5" s="16" t="str">
        <x:v>结构裁剪</x:v>
      </x:c>
      <x:c r="C5" s="16" t="str">
        <x:v>展开</x:v>
      </x:c>
      <x:c r="D5" s="16" t="str">
        <x:v>折叠分支并显示隐藏数量和两层摘要</x:v>
      </x:c>
      <x:c r="E5" s="16" t="str">
        <x:v>局部编辑与总览</x:v>
      </x:c>
      <x:c r="F5" s="16" t="str">
        <x:v>可见节点、重建时间</x:v>
      </x:c>
      <x:c r="G5" s="33" t="str">
        <x:v>通过</x:v>
      </x:c>
      <x:c r="H5" s="16" t="str">
        <x:v>新连接仍归属折叠节点</x:v>
      </x:c>
    </x:row>
    <x:row r="6" ht="48" customHeight="1">
      <x:c r="A6" s="16" t="str">
        <x:v>Compact Mode</x:v>
      </x:c>
      <x:c r="B6" s="16" t="str">
        <x:v>密度</x:v>
      </x:c>
      <x:c r="C6" s="16" t="str">
        <x:v>关闭</x:v>
      </x:c>
      <x:c r="D6" s="16" t="str">
        <x:v>缩小卡片并保留短标题和类型颜色</x:v>
      </x:c>
      <x:c r="E6" s="16" t="str">
        <x:v>中大型树总览</x:v>
      </x:c>
      <x:c r="F6" s="16" t="str">
        <x:v>卡片面积、截图</x:v>
      </x:c>
      <x:c r="G6" s="33" t="str">
        <x:v>通过</x:v>
      </x:c>
      <x:c r="H6" s="16" t="str">
        <x:v>参数转移到 Inspector</x:v>
      </x:c>
    </x:row>
    <x:row r="7" ht="48" customHeight="1">
      <x:c r="A7" s="16" t="str">
        <x:v>Active Path Highlight</x:v>
      </x:c>
      <x:c r="B7" s="16" t="str">
        <x:v>运行调试</x:v>
      </x:c>
      <x:c r="C7" s="16" t="str">
        <x:v>开启</x:v>
      </x:c>
      <x:c r="D7" s="16" t="str">
        <x:v>突出 Root 到当前叶节点的执行链</x:v>
      </x:c>
      <x:c r="E7" s="16" t="str">
        <x:v>运行诊断</x:v>
      </x:c>
      <x:c r="F7" s="16" t="str">
        <x:v>路径正确性、截图</x:v>
      </x:c>
      <x:c r="G7" s="33" t="str">
        <x:v>通过</x:v>
      </x:c>
      <x:c r="H7" s="16" t="str">
        <x:v>依赖游戏运行</x:v>
      </x:c>
    </x:row>
    <x:row r="8" ht="48" customHeight="1">
      <x:c r="A8" s="16" t="str">
        <x:v>Non-active Branch Dimming</x:v>
      </x:c>
      <x:c r="B8" s="16" t="str">
        <x:v>运行调试</x:v>
      </x:c>
      <x:c r="C8" s="16" t="str">
        <x:v>关闭</x:v>
      </x:c>
      <x:c r="D8" s="16" t="str">
        <x:v>降低非当前路径分支透明度</x:v>
      </x:c>
      <x:c r="E8" s="16" t="str">
        <x:v>大树 Live Debug</x:v>
      </x:c>
      <x:c r="F8" s="16" t="str">
        <x:v>覆盖率、首帧/稳态</x:v>
      </x:c>
      <x:c r="G8" s="33" t="str">
        <x:v>通过</x:v>
      </x:c>
      <x:c r="H8" s="16" t="str">
        <x:v>需搭配活动路径</x:v>
      </x:c>
    </x:row>
    <x:row r="9" ht="48" customHeight="1">
      <x:c r="A9" s="16" t="str">
        <x:v>Multi-column Layout</x:v>
      </x:c>
      <x:c r="B9" s="16" t="str">
        <x:v>布局</x:v>
      </x:c>
      <x:c r="C9" s="16" t="str">
        <x:v>关闭</x:v>
      </x:c>
      <x:c r="D9" s="16" t="str">
        <x:v>宽扇出分支分列并保持执行顺序</x:v>
      </x:c>
      <x:c r="E9" s="16" t="str">
        <x:v>大量同级子节点</x:v>
      </x:c>
      <x:c r="F9" s="16" t="str">
        <x:v>无重叠、顺序测试</x:v>
      </x:c>
      <x:c r="G9" s="33" t="str">
        <x:v>通过</x:v>
      </x:c>
      <x:c r="H9" s="16" t="str">
        <x:v>布局宽度增加</x:v>
      </x:c>
    </x:row>
    <x:row r="10" ht="48" customHeight="1">
      <x:c r="A10" s="16" t="str">
        <x:v>Overview + Detail Minimap</x:v>
      </x:c>
      <x:c r="B10" s="16" t="str">
        <x:v>导航</x:v>
      </x:c>
      <x:c r="C10" s="16" t="str">
        <x:v>开启</x:v>
      </x:c>
      <x:c r="D10" s="16" t="str">
        <x:v>显示全部节点、视口与运行状态</x:v>
      </x:c>
      <x:c r="E10" s="16" t="str">
        <x:v>跨区域导航</x:v>
      </x:c>
      <x:c r="F10" s="16" t="str">
        <x:v>覆盖率、开关/稳态</x:v>
      </x:c>
      <x:c r="G10" s="33" t="str">
        <x:v>通过</x:v>
      </x:c>
      <x:c r="H10" s="16" t="str">
        <x:v>占用固定 230x150 区域</x:v>
      </x:c>
    </x:row>
    <x:row r="11" ht="48" customHeight="1">
      <x:c r="A11" s="16" t="str">
        <x:v>Semantic Zoom</x:v>
      </x:c>
      <x:c r="B11" s="16" t="str">
        <x:v>信息层级</x:v>
      </x:c>
      <x:c r="C11" s="16" t="str">
        <x:v>关闭</x:v>
      </x:c>
      <x:c r="D11" s="16" t="str">
        <x:v>低缩放隐藏次要字段，不改变节点几何</x:v>
      </x:c>
      <x:c r="E11" s="16" t="str">
        <x:v>多尺度浏览</x:v>
      </x:c>
      <x:c r="F11" s="16" t="str">
        <x:v>信息字段、截图</x:v>
      </x:c>
      <x:c r="G11" s="33" t="str">
        <x:v>通过</x:v>
      </x:c>
      <x:c r="H11" s="16" t="str">
        <x:v>需要学习两个阈值</x:v>
      </x:c>
    </x:row>
    <x:row r="12" ht="48" customHeight="1">
      <x:c r="A12" s="16" t="str">
        <x:v>Path Summary View</x:v>
      </x:c>
      <x:c r="B12" s="16" t="str">
        <x:v>导航</x:v>
      </x:c>
      <x:c r="C12" s="16" t="str">
        <x:v>开启</x:v>
      </x:c>
      <x:c r="D12" s="16" t="str">
        <x:v>显示可点击的运行路径摘要</x:v>
      </x:c>
      <x:c r="E12" s="16" t="str">
        <x:v>快速定位当前链</x:v>
      </x:c>
      <x:c r="F12" s="16" t="str">
        <x:v>按钮跳转、截图</x:v>
      </x:c>
      <x:c r="G12" s="33" t="str">
        <x:v>通过</x:v>
      </x:c>
      <x:c r="H12" s="16" t="str">
        <x:v>路径很长时横向占用</x:v>
      </x:c>
    </x:row>
    <x:row r="13" ht="48" customHeight="1">
      <x:c r="A13" s="16" t="str">
        <x:v>Decorator Condition Badges</x:v>
      </x:c>
      <x:c r="B13" s="16" t="str">
        <x:v>语义编码</x:v>
      </x:c>
      <x:c r="C13" s="16" t="str">
        <x:v>开启</x:v>
      </x:c>
      <x:c r="D13" s="16" t="str">
        <x:v>在节点卡片显示条件、冷却和限制摘要</x:v>
      </x:c>
      <x:c r="E13" s="16" t="str">
        <x:v>不打开 Inspector 阅读逻辑</x:v>
      </x:c>
      <x:c r="F13" s="16" t="str">
        <x:v>文本与布局测试</x:v>
      </x:c>
      <x:c r="G13" s="33" t="str">
        <x:v>通过</x:v>
      </x:c>
      <x:c r="H13" s="16" t="str">
        <x:v>多个 Decorator 增加卡高</x:v>
      </x:c>
    </x:row>
    <x:row r="14" ht="48" customHeight="1">
      <x:c r="A14" s="16" t="str">
        <x:v>Search + Highlight</x:v>
      </x:c>
      <x:c r="B14" s="16" t="str">
        <x:v>定位</x:v>
      </x:c>
      <x:c r="C14" s="16" t="str">
        <x:v>开启</x:v>
      </x:c>
      <x:c r="D14" s="16" t="str">
        <x:v>搜索标题、类型、描述、方法和参数</x:v>
      </x:c>
      <x:c r="E14" s="16" t="str">
        <x:v>已知目标定位</x:v>
      </x:c>
      <x:c r="F14" s="16" t="str">
        <x:v>363/364 降噪、截图</x:v>
      </x:c>
      <x:c r="G14" s="33" t="str">
        <x:v>通过</x:v>
      </x:c>
      <x:c r="H14" s="16" t="str">
        <x:v>未知名称时帮助有限</x:v>
      </x:c>
    </x:row>
    <x:row r="15" ht="48" customHeight="1">
      <x:c r="A15" s="16" t="str">
        <x:v>Orthogonal Edges</x:v>
      </x:c>
      <x:c r="B15" s="16" t="str">
        <x:v>连线</x:v>
      </x:c>
      <x:c r="C15" s="16" t="str">
        <x:v>关闭</x:v>
      </x:c>
      <x:c r="D15" s="16" t="str">
        <x:v>使用直角折线降低连接歧义</x:v>
      </x:c>
      <x:c r="E15" s="16" t="str">
        <x:v>层次关系阅读</x:v>
      </x:c>
      <x:c r="F15" s="16" t="str">
        <x:v>连接路径截图</x:v>
      </x:c>
      <x:c r="G15" s="33" t="str">
        <x:v>通过</x:v>
      </x:c>
      <x:c r="H15" s="16" t="str">
        <x:v>弯折增加线段</x:v>
      </x:c>
    </x:row>
    <x:row r="16" ht="48" customHeight="1">
      <x:c r="A16" s="16" t="str">
        <x:v>Edge Bundling</x:v>
      </x:c>
      <x:c r="B16" s="16" t="str">
        <x:v>连线</x:v>
      </x:c>
      <x:c r="C16" s="16" t="str">
        <x:v>关闭</x:v>
      </x:c>
      <x:c r="D16" s="16" t="str">
        <x:v>同父同向连接共享主干</x:v>
      </x:c>
      <x:c r="E16" s="16" t="str">
        <x:v>宽分支降噪</x:v>
      </x:c>
      <x:c r="F16" s="16" t="str">
        <x:v>连接路径截图</x:v>
      </x:c>
      <x:c r="G16" s="33" t="str">
        <x:v>通过</x:v>
      </x:c>
      <x:c r="H16" s="16" t="str">
        <x:v>密集处可能降低单线辨识</x:v>
      </x:c>
    </x:row>
    <x:row r="17" ht="48" customHeight="1">
      <x:c r="A17" s="16" t="str">
        <x:v>Stable Incremental Layout</x:v>
      </x:c>
      <x:c r="B17" s="16" t="str">
        <x:v>布局</x:v>
      </x:c>
      <x:c r="C17" s="16" t="str">
        <x:v>关闭</x:v>
      </x:c>
      <x:c r="D17" s="16" t="str">
        <x:v>自动排列尽量保持已有节点位置</x:v>
      </x:c>
      <x:c r="E17" s="16" t="str">
        <x:v>持续编辑大树</x:v>
      </x:c>
      <x:c r="F17" s="16" t="str">
        <x:v>位置稳定测试</x:v>
      </x:c>
      <x:c r="G17" s="33" t="str">
        <x:v>通过</x:v>
      </x:c>
      <x:c r="H17" s="16" t="str">
        <x:v>不能消除所有重叠冲突</x:v>
      </x:c>
    </x:row>
    <x:row r="18" ht="48" customHeight="1">
      <x:c r="A18" s="16" t="str">
        <x:v>Breadcrumb Navigation</x:v>
      </x:c>
      <x:c r="B18" s="16" t="str">
        <x:v>导航</x:v>
      </x:c>
      <x:c r="C18" s="16" t="str">
        <x:v>开启</x:v>
      </x:c>
      <x:c r="D18" s="16" t="str">
        <x:v>显示选中节点祖先路径并跳转</x:v>
      </x:c>
      <x:c r="E18" s="16" t="str">
        <x:v>深层节点定位</x:v>
      </x:c>
      <x:c r="F18" s="16" t="str">
        <x:v>点击导航测试</x:v>
      </x:c>
      <x:c r="G18" s="33" t="str">
        <x:v>通过</x:v>
      </x:c>
      <x:c r="H18" s="16" t="str">
        <x:v>与路径摘要信息相近</x:v>
      </x:c>
    </x:row>
    <x:row r="19" ht="48" customHeight="1">
      <x:c r="A19" s="16" t="str">
        <x:v>Failure Reason Annotation</x:v>
      </x:c>
      <x:c r="B19" s="16" t="str">
        <x:v>运行调试</x:v>
      </x:c>
      <x:c r="C19" s="16" t="str">
        <x:v>开启</x:v>
      </x:c>
      <x:c r="D19" s="16" t="str">
        <x:v>标注 FAILURE 节点和具体失败原因</x:v>
      </x:c>
      <x:c r="E19" s="16" t="str">
        <x:v>运行诊断</x:v>
      </x:c>
      <x:c r="F19" s="16" t="str">
        <x:v>失败用例、截图</x:v>
      </x:c>
      <x:c r="G19" s="33" t="str">
        <x:v>通过</x:v>
      </x:c>
      <x:c r="H19" s="16" t="str">
        <x:v>依赖 Actor 返回信息</x:v>
      </x:c>
    </x:row>
    <x:row r="20" ht="48" customHeight="1">
      <x:c r="A20" s="16" t="str">
        <x:v>Shape / Icon Type Encoding</x:v>
      </x:c>
      <x:c r="B20" s="16" t="str">
        <x:v>语义编码</x:v>
      </x:c>
      <x:c r="C20" s="16" t="str">
        <x:v>开启</x:v>
      </x:c>
      <x:c r="D20" s="16" t="str">
        <x:v>使用形状与图标补充类型颜色</x:v>
      </x:c>
      <x:c r="E20" s="16" t="str">
        <x:v>低缩放与灰度阅读</x:v>
      </x:c>
      <x:c r="F20" s="16" t="str">
        <x:v>灰度、低缩放截图</x:v>
      </x:c>
      <x:c r="G20" s="33" t="str">
        <x:v>通过</x:v>
      </x:c>
      <x:c r="H20" s="16" t="str">
        <x:v>占用少量标题栏空间</x:v>
      </x:c>
    </x:row>
    <x:row r="21" ht="48" customHeight="1">
      <x:c r="A21" s="16" t="str">
        <x:v>Accessibility / Colorblind Palette</x:v>
      </x:c>
      <x:c r="B21" s="16" t="str">
        <x:v>无障碍</x:v>
      </x:c>
      <x:c r="C21" s="16" t="str">
        <x:v>关闭</x:v>
      </x:c>
      <x:c r="D21" s="16" t="str">
        <x:v>切换色盲安全配色并提供键盘搜索导航</x:v>
      </x:c>
      <x:c r="E21" s="16" t="str">
        <x:v>色觉差异与键盘操作</x:v>
      </x:c>
      <x:c r="F21" s="16" t="str">
        <x:v>配色、Ctrl+F/F3 测试</x:v>
      </x:c>
      <x:c r="G21" s="33" t="str">
        <x:v>通过</x:v>
      </x:c>
      <x:c r="H21" s="16" t="str">
        <x:v>与默认配色视觉风格不同</x:v>
      </x:c>
    </x:row>
    <x:row r="22" ht="48" customHeight="1">
      <x:c r="A22" s="16" t="str">
        <x:v>Single Connection Rendering</x:v>
      </x:c>
      <x:c r="B22" s="16" t="str">
        <x:v>连线</x:v>
      </x:c>
      <x:c r="C22" s="16" t="str">
        <x:v>开启</x:v>
      </x:c>
      <x:c r="D22" s="16" t="str">
        <x:v>每条关系只显示一条自定义连线</x:v>
      </x:c>
      <x:c r="E22" s="16" t="str">
        <x:v>减少重复线与连接歧义</x:v>
      </x:c>
      <x:c r="F22" s="16" t="str">
        <x:v>命中、断开、撤销与截图</x:v>
      </x:c>
      <x:c r="G22" s="33" t="str">
        <x:v>通过</x:v>
      </x:c>
      <x:c r="H22" s="16" t="str">
        <x:v>拖拽时临时显示原生连接层</x:v>
      </x:c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46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</x:cols>
  <x:sheetData>
    <x:row r="1" ht="24" customHeight="1">
      <x:c r="A1" s="5" t="str">
        <x:v>自动基准原始数据（2026-08-09）</x:v>
      </x:c>
      <x:c r="B1" s="5" t="str">
        <x:v>自动基准原始数据（2026-08-09）</x:v>
      </x:c>
      <x:c r="C1" s="5" t="str">
        <x:v>自动基准原始数据（2026-08-09）</x:v>
      </x:c>
      <x:c r="D1" s="5" t="str">
        <x:v>自动基准原始数据（2026-08-09）</x:v>
      </x:c>
      <x:c r="E1" s="5" t="str">
        <x:v>自动基准原始数据（2026-08-09）</x:v>
      </x:c>
      <x:c r="F1" s="5" t="str">
        <x:v>自动基准原始数据（2026-08-09）</x:v>
      </x:c>
      <x:c r="G1" s="5" t="str">
        <x:v>自动基准原始数据（2026-08-09）</x:v>
      </x:c>
      <x:c r="H1" s="5" t="str">
        <x:v>自动基准原始数据（2026-08-09）</x:v>
      </x:c>
      <x:c r="I1" s="5" t="str">
        <x:v>自动基准原始数据（2026-08-09）</x:v>
      </x:c>
      <x:c r="J1" s="1"/>
      <x:c r="K1" s="24" t="str">
        <x:v>非活动分支淡化性能</x:v>
      </x:c>
      <x:c r="L1" s="24" t="str">
        <x:v>非活动分支淡化性能</x:v>
      </x:c>
      <x:c r="M1" s="24" t="str">
        <x:v>非活动分支淡化性能</x:v>
      </x:c>
      <x:c r="N1" s="24" t="str">
        <x:v>非活动分支淡化性能</x:v>
      </x:c>
      <x:c r="O1" s="24" t="str">
        <x:v>非活动分支淡化性能</x:v>
      </x:c>
      <x:c r="P1" s="24" t="str">
        <x:v>非活动分支淡化性能</x:v>
      </x:c>
      <x:c r="Q1" s="24" t="str">
        <x:v>非活动分支淡化性能</x:v>
      </x:c>
      <x:c r="R1" s="24" t="str">
        <x:v>非活动分支淡化性能</x:v>
      </x:c>
      <x:c r="S1" s="24" t="str">
        <x:v>非活动分支淡化性能</x:v>
      </x:c>
      <x:c r="T1" s="1"/>
      <x:c r="U1" s="1"/>
      <x:c r="V1" s="1"/>
      <x:c r="W1" s="1"/>
      <x:c r="X1" s="1"/>
      <x:c r="Y1" s="1"/>
      <x:c r="Z1" s="1"/>
    </x:row>
    <x:row r="3">
      <x:c r="A3" s="11" t="str">
        <x:v>树节点数</x:v>
      </x:c>
      <x:c r="B3" s="11" t="str">
        <x:v>方法</x:v>
      </x:c>
      <x:c r="C3" s="11" t="str">
        <x:v>可见节点</x:v>
      </x:c>
      <x:c r="D3" s="11" t="str">
        <x:v>可见比例</x:v>
      </x:c>
      <x:c r="E3" s="11" t="str">
        <x:v>卡片总面积(px²)</x:v>
      </x:c>
      <x:c r="F3" s="11" t="str">
        <x:v>信息字段数</x:v>
      </x:c>
      <x:c r="G3" s="11" t="str">
        <x:v>降噪节点</x:v>
      </x:c>
      <x:c r="H3" s="11" t="str">
        <x:v>局部放大倍率</x:v>
      </x:c>
      <x:c r="I3" s="11" t="str">
        <x:v>刷新/重建(ms)</x:v>
      </x:c>
      <x:c r="K3" s="11" t="str">
        <x:v>树节点数</x:v>
      </x:c>
      <x:c r="L3" s="11" t="str">
        <x:v>活动节点</x:v>
      </x:c>
      <x:c r="M3" s="11" t="str">
        <x:v>淡化节点</x:v>
      </x:c>
      <x:c r="N3" s="11" t="str">
        <x:v>淡化比例</x:v>
      </x:c>
      <x:c r="O3" s="11" t="str">
        <x:v>活动 Alpha</x:v>
      </x:c>
      <x:c r="P3" s="11" t="str">
        <x:v>非活动 Alpha</x:v>
      </x:c>
      <x:c r="Q3" s="11" t="str">
        <x:v>亮度对比</x:v>
      </x:c>
      <x:c r="R3" s="11" t="str">
        <x:v>首次更新(ms)</x:v>
      </x:c>
      <x:c r="S3" s="11" t="str">
        <x:v>稳态更新(ms)</x:v>
      </x:c>
    </x:row>
    <x:row r="4">
      <x:c r="A4" s="17" t="n">
        <x:v>31</x:v>
      </x:c>
      <x:c r="B4" s="16" t="str">
        <x:v>Baseline</x:v>
      </x:c>
      <x:c r="C4" s="17" t="n">
        <x:v>31</x:v>
      </x:c>
      <x:c r="D4" s="18" t="n">
        <x:v>1</x:v>
      </x:c>
      <x:c r="E4" s="19" t="n">
        <x:v>1162500</x:v>
      </x:c>
      <x:c r="F4" s="17" t="n">
        <x:v>6</x:v>
      </x:c>
      <x:c r="G4" s="17" t="n">
        <x:v>0</x:v>
      </x:c>
      <x:c r="H4" s="20" t="n">
        <x:v>1</x:v>
      </x:c>
      <x:c r="I4" s="21" t="n">
        <x:v>0.026</x:v>
      </x:c>
      <x:c r="K4" s="26" t="n">
        <x:v>31</x:v>
      </x:c>
      <x:c r="L4" s="26" t="n">
        <x:v>5</x:v>
      </x:c>
      <x:c r="M4" s="26" t="n">
        <x:v>26</x:v>
      </x:c>
      <x:c r="N4" s="27" t="n">
        <x:v>0.83870967741935</x:v>
      </x:c>
      <x:c r="O4" s="28" t="n">
        <x:v>1</x:v>
      </x:c>
      <x:c r="P4" s="28" t="n">
        <x:v>0.24</x:v>
      </x:c>
      <x:c r="Q4" s="28" t="n">
        <x:v>4.16666666666667</x:v>
      </x:c>
      <x:c r="R4" s="29" t="n">
        <x:v>1.902</x:v>
      </x:c>
      <x:c r="S4" s="29" t="n">
        <x:v>0.40548</x:v>
      </x:c>
    </x:row>
    <x:row r="5">
      <x:c r="A5" s="17" t="n">
        <x:v>31</x:v>
      </x:c>
      <x:c r="B5" s="16" t="str">
        <x:v>Compact Cards</x:v>
      </x:c>
      <x:c r="C5" s="17" t="n">
        <x:v>31</x:v>
      </x:c>
      <x:c r="D5" s="18" t="n">
        <x:v>1</x:v>
      </x:c>
      <x:c r="E5" s="19" t="n">
        <x:v>512864</x:v>
      </x:c>
      <x:c r="F5" s="17" t="n">
        <x:v>2</x:v>
      </x:c>
      <x:c r="G5" s="17" t="n">
        <x:v>0</x:v>
      </x:c>
      <x:c r="H5" s="20" t="n">
        <x:v>1</x:v>
      </x:c>
      <x:c r="I5" s="21" t="n">
        <x:v>0.025</x:v>
      </x:c>
      <x:c r="K5" s="26" t="n">
        <x:v>121</x:v>
      </x:c>
      <x:c r="L5" s="26" t="n">
        <x:v>3</x:v>
      </x:c>
      <x:c r="M5" s="26" t="n">
        <x:v>118</x:v>
      </x:c>
      <x:c r="N5" s="27" t="n">
        <x:v>0.97520661157025</x:v>
      </x:c>
      <x:c r="O5" s="28" t="n">
        <x:v>1</x:v>
      </x:c>
      <x:c r="P5" s="28" t="n">
        <x:v>0.24</x:v>
      </x:c>
      <x:c r="Q5" s="28" t="n">
        <x:v>4.16666666666667</x:v>
      </x:c>
      <x:c r="R5" s="29" t="n">
        <x:v>6.256</x:v>
      </x:c>
      <x:c r="S5" s="29" t="n">
        <x:v>0.43618</x:v>
      </x:c>
    </x:row>
    <x:row r="6">
      <x:c r="A6" s="17" t="n">
        <x:v>31</x:v>
      </x:c>
      <x:c r="B6" s="16" t="str">
        <x:v>Semantic Zoom</x:v>
      </x:c>
      <x:c r="C6" s="17" t="n">
        <x:v>31</x:v>
      </x:c>
      <x:c r="D6" s="18" t="n">
        <x:v>1</x:v>
      </x:c>
      <x:c r="E6" s="19" t="n">
        <x:v>1162500</x:v>
      </x:c>
      <x:c r="F6" s="17" t="n">
        <x:v>1</x:v>
      </x:c>
      <x:c r="G6" s="17" t="n">
        <x:v>0</x:v>
      </x:c>
      <x:c r="H6" s="20" t="n">
        <x:v>1</x:v>
      </x:c>
      <x:c r="I6" s="21" t="n">
        <x:v>0.02</x:v>
      </x:c>
      <x:c r="K6" s="26" t="n">
        <x:v>364</x:v>
      </x:c>
      <x:c r="L6" s="26" t="n">
        <x:v>3</x:v>
      </x:c>
      <x:c r="M6" s="26" t="n">
        <x:v>361</x:v>
      </x:c>
      <x:c r="N6" s="27" t="n">
        <x:v>0.99175824175824</x:v>
      </x:c>
      <x:c r="O6" s="28" t="n">
        <x:v>1</x:v>
      </x:c>
      <x:c r="P6" s="28" t="n">
        <x:v>0.24</x:v>
      </x:c>
      <x:c r="Q6" s="28" t="n">
        <x:v>4.16666666666667</x:v>
      </x:c>
      <x:c r="R6" s="29" t="n">
        <x:v>45.037</x:v>
      </x:c>
      <x:c r="S6" s="29" t="n">
        <x:v>0.39662</x:v>
      </x:c>
    </x:row>
    <x:row r="7">
      <x:c r="A7" s="17" t="n">
        <x:v>31</x:v>
      </x:c>
      <x:c r="B7" s="16" t="str">
        <x:v>Search Highlight</x:v>
      </x:c>
      <x:c r="C7" s="17" t="n">
        <x:v>31</x:v>
      </x:c>
      <x:c r="D7" s="18" t="n">
        <x:v>1</x:v>
      </x:c>
      <x:c r="E7" s="19" t="n">
        <x:v>1162500</x:v>
      </x:c>
      <x:c r="F7" s="17" t="n">
        <x:v>6</x:v>
      </x:c>
      <x:c r="G7" s="17" t="n">
        <x:v>30</x:v>
      </x:c>
      <x:c r="H7" s="20" t="n">
        <x:v>1</x:v>
      </x:c>
      <x:c r="I7" s="21" t="n">
        <x:v>0.015</x:v>
      </x:c>
    </x:row>
    <x:row r="8">
      <x:c r="A8" s="17" t="n">
        <x:v>31</x:v>
      </x:c>
      <x:c r="B8" s="16" t="str">
        <x:v>Subtree Focus</x:v>
      </x:c>
      <x:c r="C8" s="17" t="n">
        <x:v>7</x:v>
      </x:c>
      <x:c r="D8" s="18" t="n">
        <x:v>0.2258064516129</x:v>
      </x:c>
      <x:c r="E8" s="19" t="n">
        <x:v>262500</x:v>
      </x:c>
      <x:c r="F8" s="17" t="n">
        <x:v>6</x:v>
      </x:c>
      <x:c r="G8" s="17" t="n">
        <x:v>0</x:v>
      </x:c>
      <x:c r="H8" s="20" t="n">
        <x:v>1</x:v>
      </x:c>
      <x:c r="I8" s="21" t="n">
        <x:v>37.279</x:v>
      </x:c>
    </x:row>
    <x:row r="9" ht="24" customHeight="1">
      <x:c r="A9" s="17" t="n">
        <x:v>31</x:v>
      </x:c>
      <x:c r="B9" s="16" t="str">
        <x:v>Subtree Collapse</x:v>
      </x:c>
      <x:c r="C9" s="17" t="n">
        <x:v>2</x:v>
      </x:c>
      <x:c r="D9" s="18" t="n">
        <x:v>0.06451612903226</x:v>
      </x:c>
      <x:c r="E9" s="19" t="n">
        <x:v>75000</x:v>
      </x:c>
      <x:c r="F9" s="17" t="n">
        <x:v>4</x:v>
      </x:c>
      <x:c r="G9" s="17" t="n">
        <x:v>0</x:v>
      </x:c>
      <x:c r="H9" s="20" t="n">
        <x:v>1</x:v>
      </x:c>
      <x:c r="I9" s="21" t="n">
        <x:v>37.526</x:v>
      </x:c>
      <x:c r="K9" s="24" t="str">
        <x:v>增强小地图性能</x:v>
      </x:c>
      <x:c r="L9" s="24" t="str">
        <x:v>增强小地图性能</x:v>
      </x:c>
      <x:c r="M9" s="24" t="str">
        <x:v>增强小地图性能</x:v>
      </x:c>
      <x:c r="N9" s="24" t="str">
        <x:v>增强小地图性能</x:v>
      </x:c>
      <x:c r="O9" s="24" t="str">
        <x:v>增强小地图性能</x:v>
      </x:c>
      <x:c r="P9" s="24" t="str">
        <x:v>增强小地图性能</x:v>
      </x:c>
      <x:c r="Q9" s="24" t="str">
        <x:v>增强小地图性能</x:v>
      </x:c>
      <x:c r="R9" s="24" t="str">
        <x:v>增强小地图性能</x:v>
      </x:c>
      <x:c r="S9" s="24" t="str">
        <x:v>增强小地图性能</x:v>
      </x:c>
    </x:row>
    <x:row r="10">
      <x:c r="A10" s="17" t="n">
        <x:v>31</x:v>
      </x:c>
      <x:c r="B10" s="16" t="str">
        <x:v>Fisheye</x:v>
      </x:c>
      <x:c r="C10" s="17" t="n">
        <x:v>31</x:v>
      </x:c>
      <x:c r="D10" s="18" t="n">
        <x:v>1</x:v>
      </x:c>
      <x:c r="E10" s="19" t="n">
        <x:v>1179000</x:v>
      </x:c>
      <x:c r="F10" s="17" t="n">
        <x:v>6</x:v>
      </x:c>
      <x:c r="G10" s="17" t="n">
        <x:v>0</x:v>
      </x:c>
      <x:c r="H10" s="20" t="n">
        <x:v>1.2</x:v>
      </x:c>
      <x:c r="I10" s="21" t="n">
        <x:v>0.03</x:v>
      </x:c>
    </x:row>
    <x:row r="11">
      <x:c r="A11" s="17" t="n">
        <x:v>31</x:v>
      </x:c>
      <x:c r="B11" s="16" t="str">
        <x:v>Minimap</x:v>
      </x:c>
      <x:c r="C11" s="17" t="n">
        <x:v>31</x:v>
      </x:c>
      <x:c r="D11" s="18" t="n">
        <x:v>1</x:v>
      </x:c>
      <x:c r="E11" s="19" t="n">
        <x:v>1162500</x:v>
      </x:c>
      <x:c r="F11" s="17" t="n">
        <x:v>6</x:v>
      </x:c>
      <x:c r="G11" s="17" t="n">
        <x:v>0</x:v>
      </x:c>
      <x:c r="H11" s="20" t="n">
        <x:v>1</x:v>
      </x:c>
      <x:c r="I11" s="21" t="n">
        <x:v>0.014</x:v>
      </x:c>
      <x:c r="K11" s="11" t="str">
        <x:v>树节点数</x:v>
      </x:c>
      <x:c r="L11" s="11" t="str">
        <x:v>总览节点</x:v>
      </x:c>
      <x:c r="M11" s="11" t="str">
        <x:v>覆盖率</x:v>
      </x:c>
      <x:c r="N11" s="11" t="str">
        <x:v>宽(px)</x:v>
      </x:c>
      <x:c r="O11" s="11" t="str">
        <x:v>高(px)</x:v>
      </x:c>
      <x:c r="P11" s="11" t="str">
        <x:v>面积(px²)</x:v>
      </x:c>
      <x:c r="Q11" s="11" t="str">
        <x:v>每千像素节点</x:v>
      </x:c>
      <x:c r="R11" s="11" t="str">
        <x:v>开关周期(ms)</x:v>
      </x:c>
      <x:c r="S11" s="11" t="str">
        <x:v>稳态更新(ms)</x:v>
      </x:c>
    </x:row>
    <x:row r="12">
      <x:c r="A12" s="17" t="n">
        <x:v>31</x:v>
      </x:c>
      <x:c r="B12" s="16" t="str">
        <x:v>Fit to View</x:v>
      </x:c>
      <x:c r="C12" s="17" t="n">
        <x:v>31</x:v>
      </x:c>
      <x:c r="D12" s="18" t="n">
        <x:v>1</x:v>
      </x:c>
      <x:c r="E12" s="19" t="n">
        <x:v>1162500</x:v>
      </x:c>
      <x:c r="F12" s="17" t="n">
        <x:v>6</x:v>
      </x:c>
      <x:c r="G12" s="17" t="n">
        <x:v>0</x:v>
      </x:c>
      <x:c r="H12" s="20" t="n">
        <x:v>1</x:v>
      </x:c>
      <x:c r="I12" s="21" t="n">
        <x:v>0.013</x:v>
      </x:c>
      <x:c r="K12" s="26" t="n">
        <x:v>31</x:v>
      </x:c>
      <x:c r="L12" s="26" t="n">
        <x:v>31</x:v>
      </x:c>
      <x:c r="M12" s="27" t="n">
        <x:v>1</x:v>
      </x:c>
      <x:c r="N12" s="28" t="n">
        <x:v>230</x:v>
      </x:c>
      <x:c r="O12" s="28" t="n">
        <x:v>150</x:v>
      </x:c>
      <x:c r="P12" s="28" t="n">
        <x:v>34500</x:v>
      </x:c>
      <x:c r="Q12" s="28" t="n">
        <x:v>0.89855072463768</x:v>
      </x:c>
      <x:c r="R12" s="29" t="n">
        <x:v>9.3163</x:v>
      </x:c>
      <x:c r="S12" s="29" t="n">
        <x:v>0.00132</x:v>
      </x:c>
    </x:row>
    <x:row r="13">
      <x:c r="A13" s="17" t="n">
        <x:v>31</x:v>
      </x:c>
      <x:c r="B13" s="16" t="str">
        <x:v>Switch Cycle: Fisheye / Focus+Context</x:v>
      </x:c>
      <x:c r="C13" s="17" t="n">
        <x:v>31</x:v>
      </x:c>
      <x:c r="D13" s="18" t="n">
        <x:v>1</x:v>
      </x:c>
      <x:c r="E13" s="19" t="n">
        <x:v>1162500</x:v>
      </x:c>
      <x:c r="F13" s="17" t="n">
        <x:v>6</x:v>
      </x:c>
      <x:c r="G13" s="17" t="n">
        <x:v>0</x:v>
      </x:c>
      <x:c r="H13" s="20" t="n">
        <x:v>1</x:v>
      </x:c>
      <x:c r="I13" s="21" t="n">
        <x:v>255.52</x:v>
      </x:c>
      <x:c r="K13" s="26" t="n">
        <x:v>121</x:v>
      </x:c>
      <x:c r="L13" s="26" t="n">
        <x:v>121</x:v>
      </x:c>
      <x:c r="M13" s="27" t="n">
        <x:v>1</x:v>
      </x:c>
      <x:c r="N13" s="28" t="n">
        <x:v>230</x:v>
      </x:c>
      <x:c r="O13" s="28" t="n">
        <x:v>150</x:v>
      </x:c>
      <x:c r="P13" s="28" t="n">
        <x:v>34500</x:v>
      </x:c>
      <x:c r="Q13" s="28" t="n">
        <x:v>3.50724637681159</x:v>
      </x:c>
      <x:c r="R13" s="29" t="n">
        <x:v>38.103</x:v>
      </x:c>
      <x:c r="S13" s="29" t="n">
        <x:v>0.0014</x:v>
      </x:c>
    </x:row>
    <x:row r="14">
      <x:c r="A14" s="17" t="n">
        <x:v>31</x:v>
      </x:c>
      <x:c r="B14" s="16" t="str">
        <x:v>Switch Cycle: Subtree Collapse / Expand</x:v>
      </x:c>
      <x:c r="C14" s="17" t="n">
        <x:v>31</x:v>
      </x:c>
      <x:c r="D14" s="18" t="n">
        <x:v>1</x:v>
      </x:c>
      <x:c r="E14" s="19" t="n">
        <x:v>1162500</x:v>
      </x:c>
      <x:c r="F14" s="17" t="n">
        <x:v>6</x:v>
      </x:c>
      <x:c r="G14" s="17" t="n">
        <x:v>0</x:v>
      </x:c>
      <x:c r="H14" s="20" t="n">
        <x:v>1</x:v>
      </x:c>
      <x:c r="I14" s="21" t="n">
        <x:v>306.498</x:v>
      </x:c>
      <x:c r="K14" s="26" t="n">
        <x:v>364</x:v>
      </x:c>
      <x:c r="L14" s="26" t="n">
        <x:v>364</x:v>
      </x:c>
      <x:c r="M14" s="27" t="n">
        <x:v>1</x:v>
      </x:c>
      <x:c r="N14" s="28" t="n">
        <x:v>230</x:v>
      </x:c>
      <x:c r="O14" s="28" t="n">
        <x:v>150</x:v>
      </x:c>
      <x:c r="P14" s="28" t="n">
        <x:v>34500</x:v>
      </x:c>
      <x:c r="Q14" s="28" t="n">
        <x:v>10.5507246376812</x:v>
      </x:c>
      <x:c r="R14" s="29" t="n">
        <x:v>126.79382</x:v>
      </x:c>
      <x:c r="S14" s="29" t="n">
        <x:v>0.00174</x:v>
      </x:c>
    </x:row>
    <x:row r="15">
      <x:c r="A15" s="17" t="n">
        <x:v>31</x:v>
      </x:c>
      <x:c r="B15" s="16" t="str">
        <x:v>Switch Cycle: Compact Mode</x:v>
      </x:c>
      <x:c r="C15" s="17" t="n">
        <x:v>31</x:v>
      </x:c>
      <x:c r="D15" s="18" t="n">
        <x:v>1</x:v>
      </x:c>
      <x:c r="E15" s="19" t="n">
        <x:v>1162500</x:v>
      </x:c>
      <x:c r="F15" s="17" t="n">
        <x:v>6</x:v>
      </x:c>
      <x:c r="G15" s="17" t="n">
        <x:v>0</x:v>
      </x:c>
      <x:c r="H15" s="20" t="n">
        <x:v>1</x:v>
      </x:c>
      <x:c r="I15" s="21" t="n">
        <x:v>168.88</x:v>
      </x:c>
    </x:row>
    <x:row r="16">
      <x:c r="A16" s="17" t="n">
        <x:v>31</x:v>
      </x:c>
      <x:c r="B16" s="16" t="str">
        <x:v>Switch Cycle: Shape / Icon Type Encoding</x:v>
      </x:c>
      <x:c r="C16" s="17" t="n">
        <x:v>31</x:v>
      </x:c>
      <x:c r="D16" s="18" t="n">
        <x:v>1</x:v>
      </x:c>
      <x:c r="E16" s="19" t="n">
        <x:v>1162500</x:v>
      </x:c>
      <x:c r="F16" s="17" t="n">
        <x:v>6</x:v>
      </x:c>
      <x:c r="G16" s="17" t="n">
        <x:v>0</x:v>
      </x:c>
      <x:c r="H16" s="20" t="n">
        <x:v>1</x:v>
      </x:c>
      <x:c r="I16" s="21" t="n">
        <x:v>178.297</x:v>
      </x:c>
    </x:row>
    <x:row r="17">
      <x:c r="A17" s="17" t="n">
        <x:v>31</x:v>
      </x:c>
      <x:c r="B17" s="16" t="str">
        <x:v>Switch Cycle: Accessibility / Colorblind Palette</x:v>
      </x:c>
      <x:c r="C17" s="17" t="n">
        <x:v>31</x:v>
      </x:c>
      <x:c r="D17" s="18" t="n">
        <x:v>1</x:v>
      </x:c>
      <x:c r="E17" s="19" t="n">
        <x:v>1162500</x:v>
      </x:c>
      <x:c r="F17" s="17" t="n">
        <x:v>6</x:v>
      </x:c>
      <x:c r="G17" s="17" t="n">
        <x:v>0</x:v>
      </x:c>
      <x:c r="H17" s="20" t="n">
        <x:v>1</x:v>
      </x:c>
      <x:c r="I17" s="21" t="n">
        <x:v>215.702</x:v>
      </x:c>
    </x:row>
    <x:row r="18">
      <x:c r="A18" s="17" t="n">
        <x:v>31</x:v>
      </x:c>
      <x:c r="B18" s="16" t="str">
        <x:v>Switch Cycle: Single Connection Rendering</x:v>
      </x:c>
      <x:c r="C18" s="17" t="n">
        <x:v>31</x:v>
      </x:c>
      <x:c r="D18" s="18" t="n">
        <x:v>1</x:v>
      </x:c>
      <x:c r="E18" s="19" t="n">
        <x:v>1162500</x:v>
      </x:c>
      <x:c r="F18" s="17" t="n">
        <x:v>6</x:v>
      </x:c>
      <x:c r="G18" s="17" t="n">
        <x:v>0</x:v>
      </x:c>
      <x:c r="H18" s="20" t="n">
        <x:v>1</x:v>
      </x:c>
      <x:c r="I18" s="21" t="n">
        <x:v>169.744</x:v>
      </x:c>
    </x:row>
    <x:row r="19">
      <x:c r="A19" s="17" t="n">
        <x:v>31</x:v>
      </x:c>
      <x:c r="B19" s="16" t="str">
        <x:v>Switch Cycle: Active Path Highlight</x:v>
      </x:c>
      <x:c r="C19" s="17" t="n">
        <x:v>31</x:v>
      </x:c>
      <x:c r="D19" s="18" t="n">
        <x:v>1</x:v>
      </x:c>
      <x:c r="E19" s="19" t="n">
        <x:v>1162500</x:v>
      </x:c>
      <x:c r="F19" s="17" t="n">
        <x:v>6</x:v>
      </x:c>
      <x:c r="G19" s="17" t="n">
        <x:v>0</x:v>
      </x:c>
      <x:c r="H19" s="20" t="n">
        <x:v>1</x:v>
      </x:c>
      <x:c r="I19" s="21" t="n">
        <x:v>144.723</x:v>
      </x:c>
    </x:row>
    <x:row r="20">
      <x:c r="A20" s="17" t="n">
        <x:v>31</x:v>
      </x:c>
      <x:c r="B20" s="16" t="str">
        <x:v>Switch Cycle: Non-active Branch Dimming</x:v>
      </x:c>
      <x:c r="C20" s="17" t="n">
        <x:v>31</x:v>
      </x:c>
      <x:c r="D20" s="18" t="n">
        <x:v>1</x:v>
      </x:c>
      <x:c r="E20" s="19" t="n">
        <x:v>1162500</x:v>
      </x:c>
      <x:c r="F20" s="17" t="n">
        <x:v>6</x:v>
      </x:c>
      <x:c r="G20" s="17" t="n">
        <x:v>0</x:v>
      </x:c>
      <x:c r="H20" s="20" t="n">
        <x:v>1</x:v>
      </x:c>
      <x:c r="I20" s="21" t="n">
        <x:v>147.999</x:v>
      </x:c>
    </x:row>
    <x:row r="21">
      <x:c r="A21" s="17" t="n">
        <x:v>31</x:v>
      </x:c>
      <x:c r="B21" s="16" t="str">
        <x:v>Switch Cycle: Multi-column Layout</x:v>
      </x:c>
      <x:c r="C21" s="17" t="n">
        <x:v>31</x:v>
      </x:c>
      <x:c r="D21" s="18" t="n">
        <x:v>1</x:v>
      </x:c>
      <x:c r="E21" s="19" t="n">
        <x:v>1162500</x:v>
      </x:c>
      <x:c r="F21" s="17" t="n">
        <x:v>6</x:v>
      </x:c>
      <x:c r="G21" s="17" t="n">
        <x:v>0</x:v>
      </x:c>
      <x:c r="H21" s="20" t="n">
        <x:v>1</x:v>
      </x:c>
      <x:c r="I21" s="21" t="n">
        <x:v>144.63</x:v>
      </x:c>
    </x:row>
    <x:row r="22">
      <x:c r="A22" s="17" t="n">
        <x:v>31</x:v>
      </x:c>
      <x:c r="B22" s="16" t="str">
        <x:v>Switch Cycle: Overview + Detail / Enhanced Minimap</x:v>
      </x:c>
      <x:c r="C22" s="17" t="n">
        <x:v>31</x:v>
      </x:c>
      <x:c r="D22" s="18" t="n">
        <x:v>1</x:v>
      </x:c>
      <x:c r="E22" s="19" t="n">
        <x:v>1162500</x:v>
      </x:c>
      <x:c r="F22" s="17" t="n">
        <x:v>6</x:v>
      </x:c>
      <x:c r="G22" s="17" t="n">
        <x:v>0</x:v>
      </x:c>
      <x:c r="H22" s="20" t="n">
        <x:v>1</x:v>
      </x:c>
      <x:c r="I22" s="21" t="n">
        <x:v>139.654</x:v>
      </x:c>
    </x:row>
    <x:row r="23">
      <x:c r="A23" s="17" t="n">
        <x:v>31</x:v>
      </x:c>
      <x:c r="B23" s="16" t="str">
        <x:v>Switch Cycle: Semantic Zoom</x:v>
      </x:c>
      <x:c r="C23" s="17" t="n">
        <x:v>31</x:v>
      </x:c>
      <x:c r="D23" s="18" t="n">
        <x:v>1</x:v>
      </x:c>
      <x:c r="E23" s="19" t="n">
        <x:v>1162500</x:v>
      </x:c>
      <x:c r="F23" s="17" t="n">
        <x:v>6</x:v>
      </x:c>
      <x:c r="G23" s="17" t="n">
        <x:v>0</x:v>
      </x:c>
      <x:c r="H23" s="20" t="n">
        <x:v>1</x:v>
      </x:c>
      <x:c r="I23" s="21" t="n">
        <x:v>145.704</x:v>
      </x:c>
    </x:row>
    <x:row r="24">
      <x:c r="A24" s="17" t="n">
        <x:v>31</x:v>
      </x:c>
      <x:c r="B24" s="16" t="str">
        <x:v>Switch Cycle: Path Summary View</x:v>
      </x:c>
      <x:c r="C24" s="17" t="n">
        <x:v>31</x:v>
      </x:c>
      <x:c r="D24" s="18" t="n">
        <x:v>1</x:v>
      </x:c>
      <x:c r="E24" s="19" t="n">
        <x:v>1162500</x:v>
      </x:c>
      <x:c r="F24" s="17" t="n">
        <x:v>6</x:v>
      </x:c>
      <x:c r="G24" s="17" t="n">
        <x:v>0</x:v>
      </x:c>
      <x:c r="H24" s="20" t="n">
        <x:v>1</x:v>
      </x:c>
      <x:c r="I24" s="21" t="n">
        <x:v>134.945</x:v>
      </x:c>
    </x:row>
    <x:row r="25">
      <x:c r="A25" s="17" t="n">
        <x:v>31</x:v>
      </x:c>
      <x:c r="B25" s="16" t="str">
        <x:v>Switch Cycle: Decorator Condition Badges</x:v>
      </x:c>
      <x:c r="C25" s="17" t="n">
        <x:v>31</x:v>
      </x:c>
      <x:c r="D25" s="18" t="n">
        <x:v>1</x:v>
      </x:c>
      <x:c r="E25" s="19" t="n">
        <x:v>1162500</x:v>
      </x:c>
      <x:c r="F25" s="17" t="n">
        <x:v>6</x:v>
      </x:c>
      <x:c r="G25" s="17" t="n">
        <x:v>0</x:v>
      </x:c>
      <x:c r="H25" s="20" t="n">
        <x:v>1</x:v>
      </x:c>
      <x:c r="I25" s="21" t="n">
        <x:v>144.491</x:v>
      </x:c>
    </x:row>
    <x:row r="26">
      <x:c r="A26" s="17" t="n">
        <x:v>31</x:v>
      </x:c>
      <x:c r="B26" s="16" t="str">
        <x:v>Switch Cycle: Search + Highlight</x:v>
      </x:c>
      <x:c r="C26" s="17" t="n">
        <x:v>31</x:v>
      </x:c>
      <x:c r="D26" s="18" t="n">
        <x:v>1</x:v>
      </x:c>
      <x:c r="E26" s="19" t="n">
        <x:v>1162500</x:v>
      </x:c>
      <x:c r="F26" s="17" t="n">
        <x:v>6</x:v>
      </x:c>
      <x:c r="G26" s="17" t="n">
        <x:v>0</x:v>
      </x:c>
      <x:c r="H26" s="20" t="n">
        <x:v>1</x:v>
      </x:c>
      <x:c r="I26" s="21" t="n">
        <x:v>184.584</x:v>
      </x:c>
    </x:row>
    <x:row r="27">
      <x:c r="A27" s="17" t="n">
        <x:v>31</x:v>
      </x:c>
      <x:c r="B27" s="16" t="str">
        <x:v>Switch Cycle: Orthogonal Edges</x:v>
      </x:c>
      <x:c r="C27" s="17" t="n">
        <x:v>31</x:v>
      </x:c>
      <x:c r="D27" s="18" t="n">
        <x:v>1</x:v>
      </x:c>
      <x:c r="E27" s="19" t="n">
        <x:v>1162500</x:v>
      </x:c>
      <x:c r="F27" s="17" t="n">
        <x:v>6</x:v>
      </x:c>
      <x:c r="G27" s="17" t="n">
        <x:v>0</x:v>
      </x:c>
      <x:c r="H27" s="20" t="n">
        <x:v>1</x:v>
      </x:c>
      <x:c r="I27" s="21" t="n">
        <x:v>208.114</x:v>
      </x:c>
    </x:row>
    <x:row r="28">
      <x:c r="A28" s="17" t="n">
        <x:v>31</x:v>
      </x:c>
      <x:c r="B28" s="16" t="str">
        <x:v>Switch Cycle: Edge Bundling</x:v>
      </x:c>
      <x:c r="C28" s="17" t="n">
        <x:v>31</x:v>
      </x:c>
      <x:c r="D28" s="18" t="n">
        <x:v>1</x:v>
      </x:c>
      <x:c r="E28" s="19" t="n">
        <x:v>1162500</x:v>
      </x:c>
      <x:c r="F28" s="17" t="n">
        <x:v>6</x:v>
      </x:c>
      <x:c r="G28" s="17" t="n">
        <x:v>0</x:v>
      </x:c>
      <x:c r="H28" s="20" t="n">
        <x:v>1</x:v>
      </x:c>
      <x:c r="I28" s="21" t="n">
        <x:v>170.603</x:v>
      </x:c>
    </x:row>
    <x:row r="29">
      <x:c r="A29" s="17" t="n">
        <x:v>31</x:v>
      </x:c>
      <x:c r="B29" s="16" t="str">
        <x:v>Switch Cycle: Stable Incremental Layout</x:v>
      </x:c>
      <x:c r="C29" s="17" t="n">
        <x:v>31</x:v>
      </x:c>
      <x:c r="D29" s="18" t="n">
        <x:v>1</x:v>
      </x:c>
      <x:c r="E29" s="19" t="n">
        <x:v>1162500</x:v>
      </x:c>
      <x:c r="F29" s="17" t="n">
        <x:v>6</x:v>
      </x:c>
      <x:c r="G29" s="17" t="n">
        <x:v>0</x:v>
      </x:c>
      <x:c r="H29" s="20" t="n">
        <x:v>1</x:v>
      </x:c>
      <x:c r="I29" s="21" t="n">
        <x:v>165.826</x:v>
      </x:c>
    </x:row>
    <x:row r="30">
      <x:c r="A30" s="17" t="n">
        <x:v>31</x:v>
      </x:c>
      <x:c r="B30" s="16" t="str">
        <x:v>Switch Cycle: Breadcrumb Navigation</x:v>
      </x:c>
      <x:c r="C30" s="17" t="n">
        <x:v>31</x:v>
      </x:c>
      <x:c r="D30" s="18" t="n">
        <x:v>1</x:v>
      </x:c>
      <x:c r="E30" s="19" t="n">
        <x:v>1162500</x:v>
      </x:c>
      <x:c r="F30" s="17" t="n">
        <x:v>6</x:v>
      </x:c>
      <x:c r="G30" s="17" t="n">
        <x:v>0</x:v>
      </x:c>
      <x:c r="H30" s="20" t="n">
        <x:v>1</x:v>
      </x:c>
      <x:c r="I30" s="21" t="n">
        <x:v>163.204</x:v>
      </x:c>
    </x:row>
    <x:row r="31">
      <x:c r="A31" s="17" t="n">
        <x:v>31</x:v>
      </x:c>
      <x:c r="B31" s="16" t="str">
        <x:v>Switch Cycle: Failure Reason Annotation</x:v>
      </x:c>
      <x:c r="C31" s="17" t="n">
        <x:v>31</x:v>
      </x:c>
      <x:c r="D31" s="18" t="n">
        <x:v>1</x:v>
      </x:c>
      <x:c r="E31" s="19" t="n">
        <x:v>1162500</x:v>
      </x:c>
      <x:c r="F31" s="17" t="n">
        <x:v>6</x:v>
      </x:c>
      <x:c r="G31" s="17" t="n">
        <x:v>0</x:v>
      </x:c>
      <x:c r="H31" s="20" t="n">
        <x:v>1</x:v>
      </x:c>
      <x:c r="I31" s="21" t="n">
        <x:v>196.122</x:v>
      </x:c>
    </x:row>
    <x:row r="32">
      <x:c r="A32" s="17" t="n">
        <x:v>121</x:v>
      </x:c>
      <x:c r="B32" s="16" t="str">
        <x:v>Baseline</x:v>
      </x:c>
      <x:c r="C32" s="17" t="n">
        <x:v>121</x:v>
      </x:c>
      <x:c r="D32" s="18" t="n">
        <x:v>1</x:v>
      </x:c>
      <x:c r="E32" s="19" t="n">
        <x:v>4537500</x:v>
      </x:c>
      <x:c r="F32" s="17" t="n">
        <x:v>6</x:v>
      </x:c>
      <x:c r="G32" s="17" t="n">
        <x:v>0</x:v>
      </x:c>
      <x:c r="H32" s="20" t="n">
        <x:v>1</x:v>
      </x:c>
      <x:c r="I32" s="21" t="n">
        <x:v>0.05</x:v>
      </x:c>
    </x:row>
    <x:row r="33">
      <x:c r="A33" s="17" t="n">
        <x:v>121</x:v>
      </x:c>
      <x:c r="B33" s="16" t="str">
        <x:v>Compact Cards</x:v>
      </x:c>
      <x:c r="C33" s="17" t="n">
        <x:v>121</x:v>
      </x:c>
      <x:c r="D33" s="18" t="n">
        <x:v>1</x:v>
      </x:c>
      <x:c r="E33" s="19" t="n">
        <x:v>2001824</x:v>
      </x:c>
      <x:c r="F33" s="17" t="n">
        <x:v>2</x:v>
      </x:c>
      <x:c r="G33" s="17" t="n">
        <x:v>0</x:v>
      </x:c>
      <x:c r="H33" s="20" t="n">
        <x:v>1</x:v>
      </x:c>
      <x:c r="I33" s="21" t="n">
        <x:v>0.071</x:v>
      </x:c>
    </x:row>
    <x:row r="34">
      <x:c r="A34" s="17" t="n">
        <x:v>121</x:v>
      </x:c>
      <x:c r="B34" s="16" t="str">
        <x:v>Semantic Zoom</x:v>
      </x:c>
      <x:c r="C34" s="17" t="n">
        <x:v>121</x:v>
      </x:c>
      <x:c r="D34" s="18" t="n">
        <x:v>1</x:v>
      </x:c>
      <x:c r="E34" s="19" t="n">
        <x:v>4537500</x:v>
      </x:c>
      <x:c r="F34" s="17" t="n">
        <x:v>1</x:v>
      </x:c>
      <x:c r="G34" s="17" t="n">
        <x:v>0</x:v>
      </x:c>
      <x:c r="H34" s="20" t="n">
        <x:v>1</x:v>
      </x:c>
      <x:c r="I34" s="21" t="n">
        <x:v>0.085</x:v>
      </x:c>
    </x:row>
    <x:row r="35">
      <x:c r="A35" s="17" t="n">
        <x:v>121</x:v>
      </x:c>
      <x:c r="B35" s="16" t="str">
        <x:v>Search Highlight</x:v>
      </x:c>
      <x:c r="C35" s="17" t="n">
        <x:v>121</x:v>
      </x:c>
      <x:c r="D35" s="18" t="n">
        <x:v>1</x:v>
      </x:c>
      <x:c r="E35" s="19" t="n">
        <x:v>4537500</x:v>
      </x:c>
      <x:c r="F35" s="17" t="n">
        <x:v>6</x:v>
      </x:c>
      <x:c r="G35" s="17" t="n">
        <x:v>120</x:v>
      </x:c>
      <x:c r="H35" s="20" t="n">
        <x:v>1</x:v>
      </x:c>
      <x:c r="I35" s="21" t="n">
        <x:v>0.049</x:v>
      </x:c>
    </x:row>
    <x:row r="36">
      <x:c r="A36" s="17" t="n">
        <x:v>121</x:v>
      </x:c>
      <x:c r="B36" s="16" t="str">
        <x:v>Subtree Focus</x:v>
      </x:c>
      <x:c r="C36" s="17" t="n">
        <x:v>8</x:v>
      </x:c>
      <x:c r="D36" s="18" t="n">
        <x:v>0.06611570247934</x:v>
      </x:c>
      <x:c r="E36" s="19" t="n">
        <x:v>300000</x:v>
      </x:c>
      <x:c r="F36" s="17" t="n">
        <x:v>6</x:v>
      </x:c>
      <x:c r="G36" s="17" t="n">
        <x:v>0</x:v>
      </x:c>
      <x:c r="H36" s="20" t="n">
        <x:v>1</x:v>
      </x:c>
      <x:c r="I36" s="21" t="n">
        <x:v>74.837</x:v>
      </x:c>
    </x:row>
    <x:row r="37">
      <x:c r="A37" s="17" t="n">
        <x:v>121</x:v>
      </x:c>
      <x:c r="B37" s="16" t="str">
        <x:v>Subtree Collapse</x:v>
      </x:c>
      <x:c r="C37" s="17" t="n">
        <x:v>2</x:v>
      </x:c>
      <x:c r="D37" s="18" t="n">
        <x:v>0.01652892561983</x:v>
      </x:c>
      <x:c r="E37" s="19" t="n">
        <x:v>75000</x:v>
      </x:c>
      <x:c r="F37" s="17" t="n">
        <x:v>4</x:v>
      </x:c>
      <x:c r="G37" s="17" t="n">
        <x:v>0</x:v>
      </x:c>
      <x:c r="H37" s="20" t="n">
        <x:v>1</x:v>
      </x:c>
      <x:c r="I37" s="21" t="n">
        <x:v>49.112</x:v>
      </x:c>
    </x:row>
    <x:row r="38">
      <x:c r="A38" s="17" t="n">
        <x:v>121</x:v>
      </x:c>
      <x:c r="B38" s="16" t="str">
        <x:v>Fisheye</x:v>
      </x:c>
      <x:c r="C38" s="17" t="n">
        <x:v>121</x:v>
      </x:c>
      <x:c r="D38" s="18" t="n">
        <x:v>1</x:v>
      </x:c>
      <x:c r="E38" s="19" t="n">
        <x:v>4554000</x:v>
      </x:c>
      <x:c r="F38" s="17" t="n">
        <x:v>6</x:v>
      </x:c>
      <x:c r="G38" s="17" t="n">
        <x:v>0</x:v>
      </x:c>
      <x:c r="H38" s="20" t="n">
        <x:v>1.2</x:v>
      </x:c>
      <x:c r="I38" s="21" t="n">
        <x:v>0.046</x:v>
      </x:c>
    </x:row>
    <x:row r="39">
      <x:c r="A39" s="17" t="n">
        <x:v>121</x:v>
      </x:c>
      <x:c r="B39" s="16" t="str">
        <x:v>Minimap</x:v>
      </x:c>
      <x:c r="C39" s="17" t="n">
        <x:v>121</x:v>
      </x:c>
      <x:c r="D39" s="18" t="n">
        <x:v>1</x:v>
      </x:c>
      <x:c r="E39" s="19" t="n">
        <x:v>4537500</x:v>
      </x:c>
      <x:c r="F39" s="17" t="n">
        <x:v>6</x:v>
      </x:c>
      <x:c r="G39" s="17" t="n">
        <x:v>0</x:v>
      </x:c>
      <x:c r="H39" s="20" t="n">
        <x:v>1</x:v>
      </x:c>
      <x:c r="I39" s="21" t="n">
        <x:v>0.056</x:v>
      </x:c>
    </x:row>
    <x:row r="40">
      <x:c r="A40" s="17" t="n">
        <x:v>121</x:v>
      </x:c>
      <x:c r="B40" s="16" t="str">
        <x:v>Fit to View</x:v>
      </x:c>
      <x:c r="C40" s="17" t="n">
        <x:v>121</x:v>
      </x:c>
      <x:c r="D40" s="18" t="n">
        <x:v>1</x:v>
      </x:c>
      <x:c r="E40" s="19" t="n">
        <x:v>4537500</x:v>
      </x:c>
      <x:c r="F40" s="17" t="n">
        <x:v>6</x:v>
      </x:c>
      <x:c r="G40" s="17" t="n">
        <x:v>0</x:v>
      </x:c>
      <x:c r="H40" s="20" t="n">
        <x:v>1</x:v>
      </x:c>
      <x:c r="I40" s="21" t="n">
        <x:v>0.067</x:v>
      </x:c>
    </x:row>
    <x:row r="41">
      <x:c r="A41" s="17" t="n">
        <x:v>121</x:v>
      </x:c>
      <x:c r="B41" s="16" t="str">
        <x:v>Switch Cycle: Fisheye / Focus+Context</x:v>
      </x:c>
      <x:c r="C41" s="17" t="n">
        <x:v>121</x:v>
      </x:c>
      <x:c r="D41" s="18" t="n">
        <x:v>1</x:v>
      </x:c>
      <x:c r="E41" s="19" t="n">
        <x:v>4537500</x:v>
      </x:c>
      <x:c r="F41" s="17" t="n">
        <x:v>6</x:v>
      </x:c>
      <x:c r="G41" s="17" t="n">
        <x:v>0</x:v>
      </x:c>
      <x:c r="H41" s="20" t="n">
        <x:v>1</x:v>
      </x:c>
      <x:c r="I41" s="21" t="n">
        <x:v>1069.39</x:v>
      </x:c>
    </x:row>
    <x:row r="42">
      <x:c r="A42" s="17" t="n">
        <x:v>121</x:v>
      </x:c>
      <x:c r="B42" s="16" t="str">
        <x:v>Switch Cycle: Subtree Collapse / Expand</x:v>
      </x:c>
      <x:c r="C42" s="17" t="n">
        <x:v>121</x:v>
      </x:c>
      <x:c r="D42" s="18" t="n">
        <x:v>1</x:v>
      </x:c>
      <x:c r="E42" s="19" t="n">
        <x:v>4537500</x:v>
      </x:c>
      <x:c r="F42" s="17" t="n">
        <x:v>6</x:v>
      </x:c>
      <x:c r="G42" s="17" t="n">
        <x:v>0</x:v>
      </x:c>
      <x:c r="H42" s="20" t="n">
        <x:v>1</x:v>
      </x:c>
      <x:c r="I42" s="21" t="n">
        <x:v>1376.705</x:v>
      </x:c>
    </x:row>
    <x:row r="43">
      <x:c r="A43" s="17" t="n">
        <x:v>121</x:v>
      </x:c>
      <x:c r="B43" s="16" t="str">
        <x:v>Switch Cycle: Compact Mode</x:v>
      </x:c>
      <x:c r="C43" s="17" t="n">
        <x:v>121</x:v>
      </x:c>
      <x:c r="D43" s="18" t="n">
        <x:v>1</x:v>
      </x:c>
      <x:c r="E43" s="19" t="n">
        <x:v>4537500</x:v>
      </x:c>
      <x:c r="F43" s="17" t="n">
        <x:v>6</x:v>
      </x:c>
      <x:c r="G43" s="17" t="n">
        <x:v>0</x:v>
      </x:c>
      <x:c r="H43" s="20" t="n">
        <x:v>1</x:v>
      </x:c>
      <x:c r="I43" s="21" t="n">
        <x:v>771.963</x:v>
      </x:c>
    </x:row>
    <x:row r="44">
      <x:c r="A44" s="17" t="n">
        <x:v>121</x:v>
      </x:c>
      <x:c r="B44" s="16" t="str">
        <x:v>Switch Cycle: Shape / Icon Type Encoding</x:v>
      </x:c>
      <x:c r="C44" s="17" t="n">
        <x:v>121</x:v>
      </x:c>
      <x:c r="D44" s="18" t="n">
        <x:v>1</x:v>
      </x:c>
      <x:c r="E44" s="19" t="n">
        <x:v>4537500</x:v>
      </x:c>
      <x:c r="F44" s="17" t="n">
        <x:v>6</x:v>
      </x:c>
      <x:c r="G44" s="17" t="n">
        <x:v>0</x:v>
      </x:c>
      <x:c r="H44" s="20" t="n">
        <x:v>1</x:v>
      </x:c>
      <x:c r="I44" s="21" t="n">
        <x:v>787.324</x:v>
      </x:c>
    </x:row>
    <x:row r="45">
      <x:c r="A45" s="17" t="n">
        <x:v>121</x:v>
      </x:c>
      <x:c r="B45" s="16" t="str">
        <x:v>Switch Cycle: Accessibility / Colorblind Palette</x:v>
      </x:c>
      <x:c r="C45" s="17" t="n">
        <x:v>121</x:v>
      </x:c>
      <x:c r="D45" s="18" t="n">
        <x:v>1</x:v>
      </x:c>
      <x:c r="E45" s="19" t="n">
        <x:v>4537500</x:v>
      </x:c>
      <x:c r="F45" s="17" t="n">
        <x:v>6</x:v>
      </x:c>
      <x:c r="G45" s="17" t="n">
        <x:v>0</x:v>
      </x:c>
      <x:c r="H45" s="20" t="n">
        <x:v>1</x:v>
      </x:c>
      <x:c r="I45" s="21" t="n">
        <x:v>769.098</x:v>
      </x:c>
    </x:row>
    <x:row r="46">
      <x:c r="A46" s="17" t="n">
        <x:v>121</x:v>
      </x:c>
      <x:c r="B46" s="16" t="str">
        <x:v>Switch Cycle: Single Connection Rendering</x:v>
      </x:c>
      <x:c r="C46" s="17" t="n">
        <x:v>121</x:v>
      </x:c>
      <x:c r="D46" s="18" t="n">
        <x:v>1</x:v>
      </x:c>
      <x:c r="E46" s="19" t="n">
        <x:v>4537500</x:v>
      </x:c>
      <x:c r="F46" s="17" t="n">
        <x:v>6</x:v>
      </x:c>
      <x:c r="G46" s="17" t="n">
        <x:v>0</x:v>
      </x:c>
      <x:c r="H46" s="20" t="n">
        <x:v>1</x:v>
      </x:c>
      <x:c r="I46" s="21" t="n">
        <x:v>828.482</x:v>
      </x:c>
    </x:row>
    <x:row r="47">
      <x:c r="A47" s="17" t="n">
        <x:v>121</x:v>
      </x:c>
      <x:c r="B47" s="16" t="str">
        <x:v>Switch Cycle: Active Path Highlight</x:v>
      </x:c>
      <x:c r="C47" s="17" t="n">
        <x:v>121</x:v>
      </x:c>
      <x:c r="D47" s="18" t="n">
        <x:v>1</x:v>
      </x:c>
      <x:c r="E47" s="19" t="n">
        <x:v>4537500</x:v>
      </x:c>
      <x:c r="F47" s="17" t="n">
        <x:v>6</x:v>
      </x:c>
      <x:c r="G47" s="17" t="n">
        <x:v>0</x:v>
      </x:c>
      <x:c r="H47" s="20" t="n">
        <x:v>1</x:v>
      </x:c>
      <x:c r="I47" s="21" t="n">
        <x:v>809.207</x:v>
      </x:c>
    </x:row>
    <x:row r="48">
      <x:c r="A48" s="17" t="n">
        <x:v>121</x:v>
      </x:c>
      <x:c r="B48" s="16" t="str">
        <x:v>Switch Cycle: Non-active Branch Dimming</x:v>
      </x:c>
      <x:c r="C48" s="17" t="n">
        <x:v>121</x:v>
      </x:c>
      <x:c r="D48" s="18" t="n">
        <x:v>1</x:v>
      </x:c>
      <x:c r="E48" s="19" t="n">
        <x:v>4537500</x:v>
      </x:c>
      <x:c r="F48" s="17" t="n">
        <x:v>6</x:v>
      </x:c>
      <x:c r="G48" s="17" t="n">
        <x:v>0</x:v>
      </x:c>
      <x:c r="H48" s="20" t="n">
        <x:v>1</x:v>
      </x:c>
      <x:c r="I48" s="21" t="n">
        <x:v>760.137</x:v>
      </x:c>
    </x:row>
    <x:row r="49">
      <x:c r="A49" s="17" t="n">
        <x:v>121</x:v>
      </x:c>
      <x:c r="B49" s="16" t="str">
        <x:v>Switch Cycle: Multi-column Layout</x:v>
      </x:c>
      <x:c r="C49" s="17" t="n">
        <x:v>121</x:v>
      </x:c>
      <x:c r="D49" s="18" t="n">
        <x:v>1</x:v>
      </x:c>
      <x:c r="E49" s="19" t="n">
        <x:v>4537500</x:v>
      </x:c>
      <x:c r="F49" s="17" t="n">
        <x:v>6</x:v>
      </x:c>
      <x:c r="G49" s="17" t="n">
        <x:v>0</x:v>
      </x:c>
      <x:c r="H49" s="20" t="n">
        <x:v>1</x:v>
      </x:c>
      <x:c r="I49" s="21" t="n">
        <x:v>746.361</x:v>
      </x:c>
    </x:row>
    <x:row r="50">
      <x:c r="A50" s="17" t="n">
        <x:v>121</x:v>
      </x:c>
      <x:c r="B50" s="16" t="str">
        <x:v>Switch Cycle: Overview + Detail / Enhanced Minimap</x:v>
      </x:c>
      <x:c r="C50" s="17" t="n">
        <x:v>121</x:v>
      </x:c>
      <x:c r="D50" s="18" t="n">
        <x:v>1</x:v>
      </x:c>
      <x:c r="E50" s="19" t="n">
        <x:v>4537500</x:v>
      </x:c>
      <x:c r="F50" s="17" t="n">
        <x:v>6</x:v>
      </x:c>
      <x:c r="G50" s="17" t="n">
        <x:v>0</x:v>
      </x:c>
      <x:c r="H50" s="20" t="n">
        <x:v>1</x:v>
      </x:c>
      <x:c r="I50" s="21" t="n">
        <x:v>760.616</x:v>
      </x:c>
    </x:row>
    <x:row r="51">
      <x:c r="A51" s="17" t="n">
        <x:v>121</x:v>
      </x:c>
      <x:c r="B51" s="16" t="str">
        <x:v>Switch Cycle: Semantic Zoom</x:v>
      </x:c>
      <x:c r="C51" s="17" t="n">
        <x:v>121</x:v>
      </x:c>
      <x:c r="D51" s="18" t="n">
        <x:v>1</x:v>
      </x:c>
      <x:c r="E51" s="19" t="n">
        <x:v>4537500</x:v>
      </x:c>
      <x:c r="F51" s="17" t="n">
        <x:v>6</x:v>
      </x:c>
      <x:c r="G51" s="17" t="n">
        <x:v>0</x:v>
      </x:c>
      <x:c r="H51" s="20" t="n">
        <x:v>1</x:v>
      </x:c>
      <x:c r="I51" s="21" t="n">
        <x:v>802.339</x:v>
      </x:c>
    </x:row>
    <x:row r="52">
      <x:c r="A52" s="17" t="n">
        <x:v>121</x:v>
      </x:c>
      <x:c r="B52" s="16" t="str">
        <x:v>Switch Cycle: Path Summary View</x:v>
      </x:c>
      <x:c r="C52" s="17" t="n">
        <x:v>121</x:v>
      </x:c>
      <x:c r="D52" s="18" t="n">
        <x:v>1</x:v>
      </x:c>
      <x:c r="E52" s="19" t="n">
        <x:v>4537500</x:v>
      </x:c>
      <x:c r="F52" s="17" t="n">
        <x:v>6</x:v>
      </x:c>
      <x:c r="G52" s="17" t="n">
        <x:v>0</x:v>
      </x:c>
      <x:c r="H52" s="20" t="n">
        <x:v>1</x:v>
      </x:c>
      <x:c r="I52" s="21" t="n">
        <x:v>800.414</x:v>
      </x:c>
    </x:row>
    <x:row r="53">
      <x:c r="A53" s="17" t="n">
        <x:v>121</x:v>
      </x:c>
      <x:c r="B53" s="16" t="str">
        <x:v>Switch Cycle: Decorator Condition Badges</x:v>
      </x:c>
      <x:c r="C53" s="17" t="n">
        <x:v>121</x:v>
      </x:c>
      <x:c r="D53" s="18" t="n">
        <x:v>1</x:v>
      </x:c>
      <x:c r="E53" s="19" t="n">
        <x:v>4537500</x:v>
      </x:c>
      <x:c r="F53" s="17" t="n">
        <x:v>6</x:v>
      </x:c>
      <x:c r="G53" s="17" t="n">
        <x:v>0</x:v>
      </x:c>
      <x:c r="H53" s="20" t="n">
        <x:v>1</x:v>
      </x:c>
      <x:c r="I53" s="21" t="n">
        <x:v>898.173</x:v>
      </x:c>
    </x:row>
    <x:row r="54">
      <x:c r="A54" s="17" t="n">
        <x:v>121</x:v>
      </x:c>
      <x:c r="B54" s="16" t="str">
        <x:v>Switch Cycle: Search + Highlight</x:v>
      </x:c>
      <x:c r="C54" s="17" t="n">
        <x:v>121</x:v>
      </x:c>
      <x:c r="D54" s="18" t="n">
        <x:v>1</x:v>
      </x:c>
      <x:c r="E54" s="19" t="n">
        <x:v>4537500</x:v>
      </x:c>
      <x:c r="F54" s="17" t="n">
        <x:v>6</x:v>
      </x:c>
      <x:c r="G54" s="17" t="n">
        <x:v>0</x:v>
      </x:c>
      <x:c r="H54" s="20" t="n">
        <x:v>1</x:v>
      </x:c>
      <x:c r="I54" s="21" t="n">
        <x:v>788.661</x:v>
      </x:c>
    </x:row>
    <x:row r="55">
      <x:c r="A55" s="17" t="n">
        <x:v>121</x:v>
      </x:c>
      <x:c r="B55" s="16" t="str">
        <x:v>Switch Cycle: Orthogonal Edges</x:v>
      </x:c>
      <x:c r="C55" s="17" t="n">
        <x:v>121</x:v>
      </x:c>
      <x:c r="D55" s="18" t="n">
        <x:v>1</x:v>
      </x:c>
      <x:c r="E55" s="19" t="n">
        <x:v>4537500</x:v>
      </x:c>
      <x:c r="F55" s="17" t="n">
        <x:v>6</x:v>
      </x:c>
      <x:c r="G55" s="17" t="n">
        <x:v>0</x:v>
      </x:c>
      <x:c r="H55" s="20" t="n">
        <x:v>1</x:v>
      </x:c>
      <x:c r="I55" s="21" t="n">
        <x:v>765.774</x:v>
      </x:c>
    </x:row>
    <x:row r="56">
      <x:c r="A56" s="17" t="n">
        <x:v>121</x:v>
      </x:c>
      <x:c r="B56" s="16" t="str">
        <x:v>Switch Cycle: Edge Bundling</x:v>
      </x:c>
      <x:c r="C56" s="17" t="n">
        <x:v>121</x:v>
      </x:c>
      <x:c r="D56" s="18" t="n">
        <x:v>1</x:v>
      </x:c>
      <x:c r="E56" s="19" t="n">
        <x:v>4537500</x:v>
      </x:c>
      <x:c r="F56" s="17" t="n">
        <x:v>6</x:v>
      </x:c>
      <x:c r="G56" s="17" t="n">
        <x:v>0</x:v>
      </x:c>
      <x:c r="H56" s="20" t="n">
        <x:v>1</x:v>
      </x:c>
      <x:c r="I56" s="21" t="n">
        <x:v>751.693</x:v>
      </x:c>
    </x:row>
    <x:row r="57">
      <x:c r="A57" s="17" t="n">
        <x:v>121</x:v>
      </x:c>
      <x:c r="B57" s="16" t="str">
        <x:v>Switch Cycle: Stable Incremental Layout</x:v>
      </x:c>
      <x:c r="C57" s="17" t="n">
        <x:v>121</x:v>
      </x:c>
      <x:c r="D57" s="18" t="n">
        <x:v>1</x:v>
      </x:c>
      <x:c r="E57" s="19" t="n">
        <x:v>4537500</x:v>
      </x:c>
      <x:c r="F57" s="17" t="n">
        <x:v>6</x:v>
      </x:c>
      <x:c r="G57" s="17" t="n">
        <x:v>0</x:v>
      </x:c>
      <x:c r="H57" s="20" t="n">
        <x:v>1</x:v>
      </x:c>
      <x:c r="I57" s="21" t="n">
        <x:v>822.018</x:v>
      </x:c>
    </x:row>
    <x:row r="58">
      <x:c r="A58" s="17" t="n">
        <x:v>121</x:v>
      </x:c>
      <x:c r="B58" s="16" t="str">
        <x:v>Switch Cycle: Breadcrumb Navigation</x:v>
      </x:c>
      <x:c r="C58" s="17" t="n">
        <x:v>121</x:v>
      </x:c>
      <x:c r="D58" s="18" t="n">
        <x:v>1</x:v>
      </x:c>
      <x:c r="E58" s="19" t="n">
        <x:v>4537500</x:v>
      </x:c>
      <x:c r="F58" s="17" t="n">
        <x:v>6</x:v>
      </x:c>
      <x:c r="G58" s="17" t="n">
        <x:v>0</x:v>
      </x:c>
      <x:c r="H58" s="20" t="n">
        <x:v>1</x:v>
      </x:c>
      <x:c r="I58" s="21" t="n">
        <x:v>787.215</x:v>
      </x:c>
    </x:row>
    <x:row r="59">
      <x:c r="A59" s="17" t="n">
        <x:v>121</x:v>
      </x:c>
      <x:c r="B59" s="16" t="str">
        <x:v>Switch Cycle: Failure Reason Annotation</x:v>
      </x:c>
      <x:c r="C59" s="17" t="n">
        <x:v>121</x:v>
      </x:c>
      <x:c r="D59" s="18" t="n">
        <x:v>1</x:v>
      </x:c>
      <x:c r="E59" s="19" t="n">
        <x:v>4537500</x:v>
      </x:c>
      <x:c r="F59" s="17" t="n">
        <x:v>6</x:v>
      </x:c>
      <x:c r="G59" s="17" t="n">
        <x:v>0</x:v>
      </x:c>
      <x:c r="H59" s="20" t="n">
        <x:v>1</x:v>
      </x:c>
      <x:c r="I59" s="21" t="n">
        <x:v>788.036</x:v>
      </x:c>
    </x:row>
    <x:row r="60">
      <x:c r="A60" s="17" t="n">
        <x:v>364</x:v>
      </x:c>
      <x:c r="B60" s="16" t="str">
        <x:v>Baseline</x:v>
      </x:c>
      <x:c r="C60" s="17" t="n">
        <x:v>364</x:v>
      </x:c>
      <x:c r="D60" s="18" t="n">
        <x:v>1</x:v>
      </x:c>
      <x:c r="E60" s="19" t="n">
        <x:v>13650000</x:v>
      </x:c>
      <x:c r="F60" s="17" t="n">
        <x:v>6</x:v>
      </x:c>
      <x:c r="G60" s="17" t="n">
        <x:v>0</x:v>
      </x:c>
      <x:c r="H60" s="20" t="n">
        <x:v>1</x:v>
      </x:c>
      <x:c r="I60" s="21" t="n">
        <x:v>0.23</x:v>
      </x:c>
    </x:row>
    <x:row r="61">
      <x:c r="A61" s="17" t="n">
        <x:v>364</x:v>
      </x:c>
      <x:c r="B61" s="16" t="str">
        <x:v>Compact Cards</x:v>
      </x:c>
      <x:c r="C61" s="17" t="n">
        <x:v>364</x:v>
      </x:c>
      <x:c r="D61" s="18" t="n">
        <x:v>1</x:v>
      </x:c>
      <x:c r="E61" s="19" t="n">
        <x:v>6022016</x:v>
      </x:c>
      <x:c r="F61" s="17" t="n">
        <x:v>2</x:v>
      </x:c>
      <x:c r="G61" s="17" t="n">
        <x:v>0</x:v>
      </x:c>
      <x:c r="H61" s="20" t="n">
        <x:v>1</x:v>
      </x:c>
      <x:c r="I61" s="21" t="n">
        <x:v>0.269</x:v>
      </x:c>
    </x:row>
    <x:row r="62">
      <x:c r="A62" s="17" t="n">
        <x:v>364</x:v>
      </x:c>
      <x:c r="B62" s="16" t="str">
        <x:v>Semantic Zoom</x:v>
      </x:c>
      <x:c r="C62" s="17" t="n">
        <x:v>364</x:v>
      </x:c>
      <x:c r="D62" s="18" t="n">
        <x:v>1</x:v>
      </x:c>
      <x:c r="E62" s="19" t="n">
        <x:v>13650000</x:v>
      </x:c>
      <x:c r="F62" s="17" t="n">
        <x:v>1</x:v>
      </x:c>
      <x:c r="G62" s="17" t="n">
        <x:v>0</x:v>
      </x:c>
      <x:c r="H62" s="20" t="n">
        <x:v>1</x:v>
      </x:c>
      <x:c r="I62" s="21" t="n">
        <x:v>0.285</x:v>
      </x:c>
    </x:row>
    <x:row r="63">
      <x:c r="A63" s="17" t="n">
        <x:v>364</x:v>
      </x:c>
      <x:c r="B63" s="16" t="str">
        <x:v>Search Highlight</x:v>
      </x:c>
      <x:c r="C63" s="17" t="n">
        <x:v>364</x:v>
      </x:c>
      <x:c r="D63" s="18" t="n">
        <x:v>1</x:v>
      </x:c>
      <x:c r="E63" s="19" t="n">
        <x:v>13650000</x:v>
      </x:c>
      <x:c r="F63" s="17" t="n">
        <x:v>6</x:v>
      </x:c>
      <x:c r="G63" s="17" t="n">
        <x:v>363</x:v>
      </x:c>
      <x:c r="H63" s="20" t="n">
        <x:v>1</x:v>
      </x:c>
      <x:c r="I63" s="21" t="n">
        <x:v>0.165</x:v>
      </x:c>
    </x:row>
    <x:row r="64">
      <x:c r="A64" s="17" t="n">
        <x:v>364</x:v>
      </x:c>
      <x:c r="B64" s="16" t="str">
        <x:v>Subtree Focus</x:v>
      </x:c>
      <x:c r="C64" s="17" t="n">
        <x:v>9</x:v>
      </x:c>
      <x:c r="D64" s="18" t="n">
        <x:v>0.02472527472527</x:v>
      </x:c>
      <x:c r="E64" s="19" t="n">
        <x:v>337500</x:v>
      </x:c>
      <x:c r="F64" s="17" t="n">
        <x:v>6</x:v>
      </x:c>
      <x:c r="G64" s="17" t="n">
        <x:v>0</x:v>
      </x:c>
      <x:c r="H64" s="20" t="n">
        <x:v>1</x:v>
      </x:c>
      <x:c r="I64" s="21" t="n">
        <x:v>285.824</x:v>
      </x:c>
    </x:row>
    <x:row r="65">
      <x:c r="A65" s="17" t="n">
        <x:v>364</x:v>
      </x:c>
      <x:c r="B65" s="16" t="str">
        <x:v>Subtree Collapse</x:v>
      </x:c>
      <x:c r="C65" s="17" t="n">
        <x:v>2</x:v>
      </x:c>
      <x:c r="D65" s="18" t="n">
        <x:v>0.00549450549451</x:v>
      </x:c>
      <x:c r="E65" s="19" t="n">
        <x:v>75000</x:v>
      </x:c>
      <x:c r="F65" s="17" t="n">
        <x:v>4</x:v>
      </x:c>
      <x:c r="G65" s="17" t="n">
        <x:v>0</x:v>
      </x:c>
      <x:c r="H65" s="20" t="n">
        <x:v>1</x:v>
      </x:c>
      <x:c r="I65" s="21" t="n">
        <x:v>199.873</x:v>
      </x:c>
    </x:row>
    <x:row r="66">
      <x:c r="A66" s="17" t="n">
        <x:v>364</x:v>
      </x:c>
      <x:c r="B66" s="16" t="str">
        <x:v>Fisheye</x:v>
      </x:c>
      <x:c r="C66" s="17" t="n">
        <x:v>364</x:v>
      </x:c>
      <x:c r="D66" s="18" t="n">
        <x:v>1</x:v>
      </x:c>
      <x:c r="E66" s="19" t="n">
        <x:v>13666500</x:v>
      </x:c>
      <x:c r="F66" s="17" t="n">
        <x:v>6</x:v>
      </x:c>
      <x:c r="G66" s="17" t="n">
        <x:v>0</x:v>
      </x:c>
      <x:c r="H66" s="20" t="n">
        <x:v>1.2</x:v>
      </x:c>
      <x:c r="I66" s="21" t="n">
        <x:v>0.256</x:v>
      </x:c>
    </x:row>
    <x:row r="67">
      <x:c r="A67" s="17" t="n">
        <x:v>364</x:v>
      </x:c>
      <x:c r="B67" s="16" t="str">
        <x:v>Minimap</x:v>
      </x:c>
      <x:c r="C67" s="17" t="n">
        <x:v>364</x:v>
      </x:c>
      <x:c r="D67" s="18" t="n">
        <x:v>1</x:v>
      </x:c>
      <x:c r="E67" s="19" t="n">
        <x:v>13650000</x:v>
      </x:c>
      <x:c r="F67" s="17" t="n">
        <x:v>6</x:v>
      </x:c>
      <x:c r="G67" s="17" t="n">
        <x:v>0</x:v>
      </x:c>
      <x:c r="H67" s="20" t="n">
        <x:v>1</x:v>
      </x:c>
      <x:c r="I67" s="21" t="n">
        <x:v>0.215</x:v>
      </x:c>
    </x:row>
    <x:row r="68">
      <x:c r="A68" s="17" t="n">
        <x:v>364</x:v>
      </x:c>
      <x:c r="B68" s="16" t="str">
        <x:v>Fit to View</x:v>
      </x:c>
      <x:c r="C68" s="17" t="n">
        <x:v>364</x:v>
      </x:c>
      <x:c r="D68" s="18" t="n">
        <x:v>1</x:v>
      </x:c>
      <x:c r="E68" s="19" t="n">
        <x:v>13650000</x:v>
      </x:c>
      <x:c r="F68" s="17" t="n">
        <x:v>6</x:v>
      </x:c>
      <x:c r="G68" s="17" t="n">
        <x:v>0</x:v>
      </x:c>
      <x:c r="H68" s="20" t="n">
        <x:v>1</x:v>
      </x:c>
      <x:c r="I68" s="21" t="n">
        <x:v>0.196</x:v>
      </x:c>
    </x:row>
    <x:row r="69">
      <x:c r="A69" s="17" t="n">
        <x:v>364</x:v>
      </x:c>
      <x:c r="B69" s="16" t="str">
        <x:v>Switch Cycle: Fisheye / Focus+Context</x:v>
      </x:c>
      <x:c r="C69" s="17" t="n">
        <x:v>364</x:v>
      </x:c>
      <x:c r="D69" s="18" t="n">
        <x:v>1</x:v>
      </x:c>
      <x:c r="E69" s="19" t="n">
        <x:v>13650000</x:v>
      </x:c>
      <x:c r="F69" s="17" t="n">
        <x:v>6</x:v>
      </x:c>
      <x:c r="G69" s="17" t="n">
        <x:v>0</x:v>
      </x:c>
      <x:c r="H69" s="20" t="n">
        <x:v>1</x:v>
      </x:c>
      <x:c r="I69" s="21" t="n">
        <x:v>5006.719</x:v>
      </x:c>
    </x:row>
    <x:row r="70">
      <x:c r="A70" s="17" t="n">
        <x:v>364</x:v>
      </x:c>
      <x:c r="B70" s="16" t="str">
        <x:v>Switch Cycle: Subtree Collapse / Expand</x:v>
      </x:c>
      <x:c r="C70" s="17" t="n">
        <x:v>364</x:v>
      </x:c>
      <x:c r="D70" s="18" t="n">
        <x:v>1</x:v>
      </x:c>
      <x:c r="E70" s="19" t="n">
        <x:v>13650000</x:v>
      </x:c>
      <x:c r="F70" s="17" t="n">
        <x:v>6</x:v>
      </x:c>
      <x:c r="G70" s="17" t="n">
        <x:v>0</x:v>
      </x:c>
      <x:c r="H70" s="20" t="n">
        <x:v>1</x:v>
      </x:c>
      <x:c r="I70" s="21" t="n">
        <x:v>6042.117</x:v>
      </x:c>
    </x:row>
    <x:row r="71">
      <x:c r="A71" s="17" t="n">
        <x:v>364</x:v>
      </x:c>
      <x:c r="B71" s="16" t="str">
        <x:v>Switch Cycle: Compact Mode</x:v>
      </x:c>
      <x:c r="C71" s="17" t="n">
        <x:v>364</x:v>
      </x:c>
      <x:c r="D71" s="18" t="n">
        <x:v>1</x:v>
      </x:c>
      <x:c r="E71" s="19" t="n">
        <x:v>13650000</x:v>
      </x:c>
      <x:c r="F71" s="17" t="n">
        <x:v>6</x:v>
      </x:c>
      <x:c r="G71" s="17" t="n">
        <x:v>0</x:v>
      </x:c>
      <x:c r="H71" s="20" t="n">
        <x:v>1</x:v>
      </x:c>
      <x:c r="I71" s="21" t="n">
        <x:v>3643.452</x:v>
      </x:c>
    </x:row>
    <x:row r="72">
      <x:c r="A72" s="17" t="n">
        <x:v>364</x:v>
      </x:c>
      <x:c r="B72" s="16" t="str">
        <x:v>Switch Cycle: Shape / Icon Type Encoding</x:v>
      </x:c>
      <x:c r="C72" s="17" t="n">
        <x:v>364</x:v>
      </x:c>
      <x:c r="D72" s="18" t="n">
        <x:v>1</x:v>
      </x:c>
      <x:c r="E72" s="19" t="n">
        <x:v>13650000</x:v>
      </x:c>
      <x:c r="F72" s="17" t="n">
        <x:v>6</x:v>
      </x:c>
      <x:c r="G72" s="17" t="n">
        <x:v>0</x:v>
      </x:c>
      <x:c r="H72" s="20" t="n">
        <x:v>1</x:v>
      </x:c>
      <x:c r="I72" s="21" t="n">
        <x:v>3571.334</x:v>
      </x:c>
    </x:row>
    <x:row r="73">
      <x:c r="A73" s="17" t="n">
        <x:v>364</x:v>
      </x:c>
      <x:c r="B73" s="16" t="str">
        <x:v>Switch Cycle: Accessibility / Colorblind Palette</x:v>
      </x:c>
      <x:c r="C73" s="17" t="n">
        <x:v>364</x:v>
      </x:c>
      <x:c r="D73" s="18" t="n">
        <x:v>1</x:v>
      </x:c>
      <x:c r="E73" s="19" t="n">
        <x:v>13650000</x:v>
      </x:c>
      <x:c r="F73" s="17" t="n">
        <x:v>6</x:v>
      </x:c>
      <x:c r="G73" s="17" t="n">
        <x:v>0</x:v>
      </x:c>
      <x:c r="H73" s="20" t="n">
        <x:v>1</x:v>
      </x:c>
      <x:c r="I73" s="21" t="n">
        <x:v>3608.572</x:v>
      </x:c>
    </x:row>
    <x:row r="74">
      <x:c r="A74" s="17" t="n">
        <x:v>364</x:v>
      </x:c>
      <x:c r="B74" s="16" t="str">
        <x:v>Switch Cycle: Single Connection Rendering</x:v>
      </x:c>
      <x:c r="C74" s="17" t="n">
        <x:v>364</x:v>
      </x:c>
      <x:c r="D74" s="18" t="n">
        <x:v>1</x:v>
      </x:c>
      <x:c r="E74" s="19" t="n">
        <x:v>13650000</x:v>
      </x:c>
      <x:c r="F74" s="17" t="n">
        <x:v>6</x:v>
      </x:c>
      <x:c r="G74" s="17" t="n">
        <x:v>0</x:v>
      </x:c>
      <x:c r="H74" s="20" t="n">
        <x:v>1</x:v>
      </x:c>
      <x:c r="I74" s="21" t="n">
        <x:v>3631.263</x:v>
      </x:c>
    </x:row>
    <x:row r="75">
      <x:c r="A75" s="17" t="n">
        <x:v>364</x:v>
      </x:c>
      <x:c r="B75" s="16" t="str">
        <x:v>Switch Cycle: Active Path Highlight</x:v>
      </x:c>
      <x:c r="C75" s="17" t="n">
        <x:v>364</x:v>
      </x:c>
      <x:c r="D75" s="18" t="n">
        <x:v>1</x:v>
      </x:c>
      <x:c r="E75" s="19" t="n">
        <x:v>13650000</x:v>
      </x:c>
      <x:c r="F75" s="17" t="n">
        <x:v>6</x:v>
      </x:c>
      <x:c r="G75" s="17" t="n">
        <x:v>0</x:v>
      </x:c>
      <x:c r="H75" s="20" t="n">
        <x:v>1</x:v>
      </x:c>
      <x:c r="I75" s="21" t="n">
        <x:v>3564.971</x:v>
      </x:c>
    </x:row>
    <x:row r="76">
      <x:c r="A76" s="17" t="n">
        <x:v>364</x:v>
      </x:c>
      <x:c r="B76" s="16" t="str">
        <x:v>Switch Cycle: Non-active Branch Dimming</x:v>
      </x:c>
      <x:c r="C76" s="17" t="n">
        <x:v>364</x:v>
      </x:c>
      <x:c r="D76" s="18" t="n">
        <x:v>1</x:v>
      </x:c>
      <x:c r="E76" s="19" t="n">
        <x:v>13650000</x:v>
      </x:c>
      <x:c r="F76" s="17" t="n">
        <x:v>6</x:v>
      </x:c>
      <x:c r="G76" s="17" t="n">
        <x:v>0</x:v>
      </x:c>
      <x:c r="H76" s="20" t="n">
        <x:v>1</x:v>
      </x:c>
      <x:c r="I76" s="21" t="n">
        <x:v>3662.049</x:v>
      </x:c>
    </x:row>
    <x:row r="77">
      <x:c r="A77" s="17" t="n">
        <x:v>364</x:v>
      </x:c>
      <x:c r="B77" s="16" t="str">
        <x:v>Switch Cycle: Multi-column Layout</x:v>
      </x:c>
      <x:c r="C77" s="17" t="n">
        <x:v>364</x:v>
      </x:c>
      <x:c r="D77" s="18" t="n">
        <x:v>1</x:v>
      </x:c>
      <x:c r="E77" s="19" t="n">
        <x:v>13650000</x:v>
      </x:c>
      <x:c r="F77" s="17" t="n">
        <x:v>6</x:v>
      </x:c>
      <x:c r="G77" s="17" t="n">
        <x:v>0</x:v>
      </x:c>
      <x:c r="H77" s="20" t="n">
        <x:v>1</x:v>
      </x:c>
      <x:c r="I77" s="21" t="n">
        <x:v>3946.228</x:v>
      </x:c>
    </x:row>
    <x:row r="78">
      <x:c r="A78" s="17" t="n">
        <x:v>364</x:v>
      </x:c>
      <x:c r="B78" s="16" t="str">
        <x:v>Switch Cycle: Overview + Detail / Enhanced Minimap</x:v>
      </x:c>
      <x:c r="C78" s="17" t="n">
        <x:v>364</x:v>
      </x:c>
      <x:c r="D78" s="18" t="n">
        <x:v>1</x:v>
      </x:c>
      <x:c r="E78" s="19" t="n">
        <x:v>13650000</x:v>
      </x:c>
      <x:c r="F78" s="17" t="n">
        <x:v>6</x:v>
      </x:c>
      <x:c r="G78" s="17" t="n">
        <x:v>0</x:v>
      </x:c>
      <x:c r="H78" s="20" t="n">
        <x:v>1</x:v>
      </x:c>
      <x:c r="I78" s="21" t="n">
        <x:v>3694.336</x:v>
      </x:c>
    </x:row>
    <x:row r="79">
      <x:c r="A79" s="17" t="n">
        <x:v>364</x:v>
      </x:c>
      <x:c r="B79" s="16" t="str">
        <x:v>Switch Cycle: Semantic Zoom</x:v>
      </x:c>
      <x:c r="C79" s="17" t="n">
        <x:v>364</x:v>
      </x:c>
      <x:c r="D79" s="18" t="n">
        <x:v>1</x:v>
      </x:c>
      <x:c r="E79" s="19" t="n">
        <x:v>13650000</x:v>
      </x:c>
      <x:c r="F79" s="17" t="n">
        <x:v>6</x:v>
      </x:c>
      <x:c r="G79" s="17" t="n">
        <x:v>0</x:v>
      </x:c>
      <x:c r="H79" s="20" t="n">
        <x:v>1</x:v>
      </x:c>
      <x:c r="I79" s="21" t="n">
        <x:v>4288.964</x:v>
      </x:c>
    </x:row>
    <x:row r="80">
      <x:c r="A80" s="17" t="n">
        <x:v>364</x:v>
      </x:c>
      <x:c r="B80" s="16" t="str">
        <x:v>Switch Cycle: Path Summary View</x:v>
      </x:c>
      <x:c r="C80" s="17" t="n">
        <x:v>364</x:v>
      </x:c>
      <x:c r="D80" s="18" t="n">
        <x:v>1</x:v>
      </x:c>
      <x:c r="E80" s="19" t="n">
        <x:v>13650000</x:v>
      </x:c>
      <x:c r="F80" s="17" t="n">
        <x:v>6</x:v>
      </x:c>
      <x:c r="G80" s="17" t="n">
        <x:v>0</x:v>
      </x:c>
      <x:c r="H80" s="20" t="n">
        <x:v>1</x:v>
      </x:c>
      <x:c r="I80" s="21" t="n">
        <x:v>4473.213</x:v>
      </x:c>
    </x:row>
    <x:row r="81">
      <x:c r="A81" s="17" t="n">
        <x:v>364</x:v>
      </x:c>
      <x:c r="B81" s="16" t="str">
        <x:v>Switch Cycle: Decorator Condition Badges</x:v>
      </x:c>
      <x:c r="C81" s="17" t="n">
        <x:v>364</x:v>
      </x:c>
      <x:c r="D81" s="18" t="n">
        <x:v>1</x:v>
      </x:c>
      <x:c r="E81" s="19" t="n">
        <x:v>13650000</x:v>
      </x:c>
      <x:c r="F81" s="17" t="n">
        <x:v>6</x:v>
      </x:c>
      <x:c r="G81" s="17" t="n">
        <x:v>0</x:v>
      </x:c>
      <x:c r="H81" s="20" t="n">
        <x:v>1</x:v>
      </x:c>
      <x:c r="I81" s="21" t="n">
        <x:v>3909.333</x:v>
      </x:c>
    </x:row>
    <x:row r="82">
      <x:c r="A82" s="17" t="n">
        <x:v>364</x:v>
      </x:c>
      <x:c r="B82" s="16" t="str">
        <x:v>Switch Cycle: Search + Highlight</x:v>
      </x:c>
      <x:c r="C82" s="17" t="n">
        <x:v>364</x:v>
      </x:c>
      <x:c r="D82" s="18" t="n">
        <x:v>1</x:v>
      </x:c>
      <x:c r="E82" s="19" t="n">
        <x:v>13650000</x:v>
      </x:c>
      <x:c r="F82" s="17" t="n">
        <x:v>6</x:v>
      </x:c>
      <x:c r="G82" s="17" t="n">
        <x:v>0</x:v>
      </x:c>
      <x:c r="H82" s="20" t="n">
        <x:v>1</x:v>
      </x:c>
      <x:c r="I82" s="21" t="n">
        <x:v>3773.365</x:v>
      </x:c>
    </x:row>
    <x:row r="83">
      <x:c r="A83" s="17" t="n">
        <x:v>364</x:v>
      </x:c>
      <x:c r="B83" s="16" t="str">
        <x:v>Switch Cycle: Orthogonal Edges</x:v>
      </x:c>
      <x:c r="C83" s="17" t="n">
        <x:v>364</x:v>
      </x:c>
      <x:c r="D83" s="18" t="n">
        <x:v>1</x:v>
      </x:c>
      <x:c r="E83" s="19" t="n">
        <x:v>13650000</x:v>
      </x:c>
      <x:c r="F83" s="17" t="n">
        <x:v>6</x:v>
      </x:c>
      <x:c r="G83" s="17" t="n">
        <x:v>0</x:v>
      </x:c>
      <x:c r="H83" s="20" t="n">
        <x:v>1</x:v>
      </x:c>
      <x:c r="I83" s="21" t="n">
        <x:v>3973.093</x:v>
      </x:c>
    </x:row>
    <x:row r="84">
      <x:c r="A84" s="17" t="n">
        <x:v>364</x:v>
      </x:c>
      <x:c r="B84" s="16" t="str">
        <x:v>Switch Cycle: Edge Bundling</x:v>
      </x:c>
      <x:c r="C84" s="17" t="n">
        <x:v>364</x:v>
      </x:c>
      <x:c r="D84" s="18" t="n">
        <x:v>1</x:v>
      </x:c>
      <x:c r="E84" s="19" t="n">
        <x:v>13650000</x:v>
      </x:c>
      <x:c r="F84" s="17" t="n">
        <x:v>6</x:v>
      </x:c>
      <x:c r="G84" s="17" t="n">
        <x:v>0</x:v>
      </x:c>
      <x:c r="H84" s="20" t="n">
        <x:v>1</x:v>
      </x:c>
      <x:c r="I84" s="21" t="n">
        <x:v>4138.473</x:v>
      </x:c>
    </x:row>
    <x:row r="85">
      <x:c r="A85" s="17" t="n">
        <x:v>364</x:v>
      </x:c>
      <x:c r="B85" s="16" t="str">
        <x:v>Switch Cycle: Stable Incremental Layout</x:v>
      </x:c>
      <x:c r="C85" s="17" t="n">
        <x:v>364</x:v>
      </x:c>
      <x:c r="D85" s="18" t="n">
        <x:v>1</x:v>
      </x:c>
      <x:c r="E85" s="19" t="n">
        <x:v>13650000</x:v>
      </x:c>
      <x:c r="F85" s="17" t="n">
        <x:v>6</x:v>
      </x:c>
      <x:c r="G85" s="17" t="n">
        <x:v>0</x:v>
      </x:c>
      <x:c r="H85" s="20" t="n">
        <x:v>1</x:v>
      </x:c>
      <x:c r="I85" s="21" t="n">
        <x:v>3574.603</x:v>
      </x:c>
    </x:row>
    <x:row r="86">
      <x:c r="A86" s="17" t="n">
        <x:v>364</x:v>
      </x:c>
      <x:c r="B86" s="16" t="str">
        <x:v>Switch Cycle: Breadcrumb Navigation</x:v>
      </x:c>
      <x:c r="C86" s="17" t="n">
        <x:v>364</x:v>
      </x:c>
      <x:c r="D86" s="18" t="n">
        <x:v>1</x:v>
      </x:c>
      <x:c r="E86" s="19" t="n">
        <x:v>13650000</x:v>
      </x:c>
      <x:c r="F86" s="17" t="n">
        <x:v>6</x:v>
      </x:c>
      <x:c r="G86" s="17" t="n">
        <x:v>0</x:v>
      </x:c>
      <x:c r="H86" s="20" t="n">
        <x:v>1</x:v>
      </x:c>
      <x:c r="I86" s="21" t="n">
        <x:v>4721.467</x:v>
      </x:c>
    </x:row>
    <x:row r="87">
      <x:c r="A87" s="17" t="n">
        <x:v>364</x:v>
      </x:c>
      <x:c r="B87" s="16" t="str">
        <x:v>Switch Cycle: Failure Reason Annotation</x:v>
      </x:c>
      <x:c r="C87" s="17" t="n">
        <x:v>364</x:v>
      </x:c>
      <x:c r="D87" s="18" t="n">
        <x:v>1</x:v>
      </x:c>
      <x:c r="E87" s="19" t="n">
        <x:v>13650000</x:v>
      </x:c>
      <x:c r="F87" s="17" t="n">
        <x:v>6</x:v>
      </x:c>
      <x:c r="G87" s="17" t="n">
        <x:v>0</x:v>
      </x:c>
      <x:c r="H87" s="20" t="n">
        <x:v>1</x:v>
      </x:c>
      <x:c r="I87" s="21" t="n">
        <x:v>4398.96</x:v>
      </x:c>
    </x:row>
  </x:sheetData>
  <x:mergeCells>
    <x:mergeCell ref="A1:I1"/>
    <x:mergeCell ref="K1:S1"/>
    <x:mergeCell ref="K9:S9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 ht="34" customHeight="1">
      <x:c r="A1" s="5" t="str">
        <x:v>364 节点显示方法量化对比（公式驱动）</x:v>
      </x:c>
      <x:c r="B1" s="5" t="str">
        <x:v>364 节点显示方法量化对比（公式驱动）</x:v>
      </x:c>
      <x:c r="C1" s="5" t="str">
        <x:v>364 节点显示方法量化对比（公式驱动）</x:v>
      </x:c>
      <x:c r="D1" s="5" t="str">
        <x:v>364 节点显示方法量化对比（公式驱动）</x:v>
      </x:c>
      <x:c r="E1" s="5" t="str">
        <x:v>364 节点显示方法量化对比（公式驱动）</x:v>
      </x:c>
      <x:c r="F1" s="5" t="str">
        <x:v>364 节点显示方法量化对比（公式驱动）</x:v>
      </x:c>
      <x:c r="G1" s="5" t="str">
        <x:v>364 节点显示方法量化对比（公式驱动）</x:v>
      </x:c>
      <x:c r="H1" s="5" t="str">
        <x:v>364 节点显示方法量化对比（公式驱动）</x:v>
      </x:c>
      <x:c r="I1" s="5" t="str">
        <x:v>364 节点显示方法量化对比（公式驱动）</x:v>
      </x:c>
      <x:c r="J1" s="5" t="str">
        <x:v>364 节点显示方法量化对比（公式驱动）</x:v>
      </x:c>
      <x:c r="K1" s="5" t="str">
        <x:v>364 节点显示方法量化对比（公式驱动）</x:v>
      </x:c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3">
      <x:c r="A3" s="11" t="str">
        <x:v>方法</x:v>
      </x:c>
      <x:c r="B3" s="11" t="str">
        <x:v>可见比例</x:v>
      </x:c>
      <x:c r="C3" s="11" t="str">
        <x:v>卡片面积</x:v>
      </x:c>
      <x:c r="D3" s="11" t="str">
        <x:v>信息字段</x:v>
      </x:c>
      <x:c r="E3" s="11" t="str">
        <x:v>降噪率</x:v>
      </x:c>
      <x:c r="F3" s="11" t="str">
        <x:v>局部倍率</x:v>
      </x:c>
      <x:c r="G3" s="11" t="str">
        <x:v>重建(ms)</x:v>
      </x:c>
      <x:c r="H3" s="11" t="str">
        <x:v>结构简化</x:v>
      </x:c>
      <x:c r="I3" s="11" t="str">
        <x:v>信息/导航</x:v>
      </x:c>
      <x:c r="J3" s="11" t="str">
        <x:v>性能</x:v>
      </x:c>
      <x:c r="K3" s="11" t="str">
        <x:v>自动综合分</x:v>
      </x:c>
      <x:c r="M3" t="str">
        <x:v>方法</x:v>
      </x:c>
      <x:c r="N3" t="str">
        <x:v>自动综合分</x:v>
      </x:c>
    </x:row>
    <x:row r="4">
      <x:c r="A4" s="26" t="str">
        <x:v>Baseline</x:v>
      </x:c>
      <x:c r="B4" s="27" t="n">
        <x:f>SUMIFS('原始数据'!$D$4:$D$87,'原始数据'!$A$4:$A$87,364,'原始数据'!$B$4:$B$87,$A4)</x:f>
        <x:v>1</x:v>
      </x:c>
      <x:c r="C4" s="54" t="n">
        <x:f>SUMIFS('原始数据'!$E$4:$E$87,'原始数据'!$A$4:$A$87,364,'原始数据'!$B$4:$B$87,$A4)</x:f>
        <x:v>13650000</x:v>
      </x:c>
      <x:c r="D4" s="55" t="n">
        <x:f>SUMIFS('原始数据'!$F$4:$F$87,'原始数据'!$A$4:$A$87,364,'原始数据'!$B$4:$B$87,$A4)</x:f>
        <x:v>6</x:v>
      </x:c>
      <x:c r="E4" s="27" t="n">
        <x:f>SUMIFS('原始数据'!$G$4:$G$87,'原始数据'!$A$4:$A$87,364,'原始数据'!$B$4:$B$87,$A4)/364</x:f>
        <x:v>0</x:v>
      </x:c>
      <x:c r="F4" s="56" t="n">
        <x:f>SUMIFS('原始数据'!$H$4:$H$87,'原始数据'!$A$4:$A$87,364,'原始数据'!$B$4:$B$87,$A4)</x:f>
        <x:v>1</x:v>
      </x:c>
      <x:c r="G4" s="57" t="n">
        <x:f>SUMIFS('原始数据'!$I$4:$I$87,'原始数据'!$A$4:$A$87,364,'原始数据'!$B$4:$B$87,$A4)</x:f>
        <x:v>0.23</x:v>
      </x:c>
      <x:c r="H4" s="27" t="n">
        <x:f>1-B4</x:f>
        <x:v>0</x:v>
      </x:c>
      <x:c r="I4" s="27" t="n">
        <x:f>MAX(1-D4/6,E4,MAX(0,F4-1))</x:f>
        <x:v>0</x:v>
      </x:c>
      <x:c r="J4" s="27" t="n">
        <x:f>MAX(0,1-MIN(G4,1000)/1000)</x:f>
        <x:v>0.99977</x:v>
      </x:c>
      <x:c r="K4" s="27" t="n">
        <x:f>H4*'评价说明'!$F$4+I4*'评价说明'!$F$5+J4*'评价说明'!$F$6</x:f>
        <x:v>0.19995400000000002</x:v>
      </x:c>
      <x:c r="M4" t="str">
        <x:v>Baseline</x:v>
      </x:c>
      <x:c r="N4" t="n">
        <x:f>K4</x:f>
        <x:v>0.19995400000000002</x:v>
      </x:c>
    </x:row>
    <x:row r="5">
      <x:c r="A5" s="26" t="str">
        <x:v>Compact Cards</x:v>
      </x:c>
      <x:c r="B5" s="27" t="n">
        <x:f>SUMIFS('原始数据'!$D$4:$D$87,'原始数据'!$A$4:$A$87,364,'原始数据'!$B$4:$B$87,$A5)</x:f>
        <x:v>1</x:v>
      </x:c>
      <x:c r="C5" s="54" t="n">
        <x:f>SUMIFS('原始数据'!$E$4:$E$87,'原始数据'!$A$4:$A$87,364,'原始数据'!$B$4:$B$87,$A5)</x:f>
        <x:v>6022016</x:v>
      </x:c>
      <x:c r="D5" s="55" t="n">
        <x:f>SUMIFS('原始数据'!$F$4:$F$87,'原始数据'!$A$4:$A$87,364,'原始数据'!$B$4:$B$87,$A5)</x:f>
        <x:v>2</x:v>
      </x:c>
      <x:c r="E5" s="27" t="n">
        <x:f>SUMIFS('原始数据'!$G$4:$G$87,'原始数据'!$A$4:$A$87,364,'原始数据'!$B$4:$B$87,$A5)/364</x:f>
        <x:v>0</x:v>
      </x:c>
      <x:c r="F5" s="56" t="n">
        <x:f>SUMIFS('原始数据'!$H$4:$H$87,'原始数据'!$A$4:$A$87,364,'原始数据'!$B$4:$B$87,$A5)</x:f>
        <x:v>1</x:v>
      </x:c>
      <x:c r="G5" s="57" t="n">
        <x:f>SUMIFS('原始数据'!$I$4:$I$87,'原始数据'!$A$4:$A$87,364,'原始数据'!$B$4:$B$87,$A5)</x:f>
        <x:v>0.269</x:v>
      </x:c>
      <x:c r="H5" s="27" t="n">
        <x:f>1-B5</x:f>
        <x:v>0</x:v>
      </x:c>
      <x:c r="I5" s="27" t="n">
        <x:f>MAX(1-D5/6,E5,MAX(0,F5-1))</x:f>
        <x:v>0.6666666666666667</x:v>
      </x:c>
      <x:c r="J5" s="27" t="n">
        <x:f>MAX(0,1-MIN(G5,1000)/1000)</x:f>
        <x:v>0.999731</x:v>
      </x:c>
      <x:c r="K5" s="27" t="n">
        <x:f>H5*'评价说明'!$F$4+I5*'评价说明'!$F$5+J5*'评价说明'!$F$6</x:f>
        <x:v>0.49994620000000006</x:v>
      </x:c>
      <x:c r="M5" t="str">
        <x:v>Compact Cards</x:v>
      </x:c>
      <x:c r="N5" t="n">
        <x:f>K5</x:f>
        <x:v>0.49994620000000006</x:v>
      </x:c>
    </x:row>
    <x:row r="6">
      <x:c r="A6" s="26" t="str">
        <x:v>Semantic Zoom</x:v>
      </x:c>
      <x:c r="B6" s="27" t="n">
        <x:f>SUMIFS('原始数据'!$D$4:$D$87,'原始数据'!$A$4:$A$87,364,'原始数据'!$B$4:$B$87,$A6)</x:f>
        <x:v>1</x:v>
      </x:c>
      <x:c r="C6" s="54" t="n">
        <x:f>SUMIFS('原始数据'!$E$4:$E$87,'原始数据'!$A$4:$A$87,364,'原始数据'!$B$4:$B$87,$A6)</x:f>
        <x:v>13650000</x:v>
      </x:c>
      <x:c r="D6" s="55" t="n">
        <x:f>SUMIFS('原始数据'!$F$4:$F$87,'原始数据'!$A$4:$A$87,364,'原始数据'!$B$4:$B$87,$A6)</x:f>
        <x:v>1</x:v>
      </x:c>
      <x:c r="E6" s="27" t="n">
        <x:f>SUMIFS('原始数据'!$G$4:$G$87,'原始数据'!$A$4:$A$87,364,'原始数据'!$B$4:$B$87,$A6)/364</x:f>
        <x:v>0</x:v>
      </x:c>
      <x:c r="F6" s="56" t="n">
        <x:f>SUMIFS('原始数据'!$H$4:$H$87,'原始数据'!$A$4:$A$87,364,'原始数据'!$B$4:$B$87,$A6)</x:f>
        <x:v>1</x:v>
      </x:c>
      <x:c r="G6" s="57" t="n">
        <x:f>SUMIFS('原始数据'!$I$4:$I$87,'原始数据'!$A$4:$A$87,364,'原始数据'!$B$4:$B$87,$A6)</x:f>
        <x:v>0.285</x:v>
      </x:c>
      <x:c r="H6" s="27" t="n">
        <x:f>1-B6</x:f>
        <x:v>0</x:v>
      </x:c>
      <x:c r="I6" s="27" t="n">
        <x:f>MAX(1-D6/6,E6,MAX(0,F6-1))</x:f>
        <x:v>0.8333333333333334</x:v>
      </x:c>
      <x:c r="J6" s="27" t="n">
        <x:f>MAX(0,1-MIN(G6,1000)/1000)</x:f>
        <x:v>0.999715</x:v>
      </x:c>
      <x:c r="K6" s="27" t="n">
        <x:f>H6*'评价说明'!$F$4+I6*'评价说明'!$F$5+J6*'评价说明'!$F$6</x:f>
        <x:v>0.574943</x:v>
      </x:c>
      <x:c r="M6" t="str">
        <x:v>Semantic Zoom</x:v>
      </x:c>
      <x:c r="N6" t="n">
        <x:f>K6</x:f>
        <x:v>0.574943</x:v>
      </x:c>
    </x:row>
    <x:row r="7">
      <x:c r="A7" s="26" t="str">
        <x:v>Search Highlight</x:v>
      </x:c>
      <x:c r="B7" s="27" t="n">
        <x:f>SUMIFS('原始数据'!$D$4:$D$87,'原始数据'!$A$4:$A$87,364,'原始数据'!$B$4:$B$87,$A7)</x:f>
        <x:v>1</x:v>
      </x:c>
      <x:c r="C7" s="54" t="n">
        <x:f>SUMIFS('原始数据'!$E$4:$E$87,'原始数据'!$A$4:$A$87,364,'原始数据'!$B$4:$B$87,$A7)</x:f>
        <x:v>13650000</x:v>
      </x:c>
      <x:c r="D7" s="55" t="n">
        <x:f>SUMIFS('原始数据'!$F$4:$F$87,'原始数据'!$A$4:$A$87,364,'原始数据'!$B$4:$B$87,$A7)</x:f>
        <x:v>6</x:v>
      </x:c>
      <x:c r="E7" s="27" t="n">
        <x:f>SUMIFS('原始数据'!$G$4:$G$87,'原始数据'!$A$4:$A$87,364,'原始数据'!$B$4:$B$87,$A7)/364</x:f>
        <x:v>0.9972527472527473</x:v>
      </x:c>
      <x:c r="F7" s="56" t="n">
        <x:f>SUMIFS('原始数据'!$H$4:$H$87,'原始数据'!$A$4:$A$87,364,'原始数据'!$B$4:$B$87,$A7)</x:f>
        <x:v>1</x:v>
      </x:c>
      <x:c r="G7" s="57" t="n">
        <x:f>SUMIFS('原始数据'!$I$4:$I$87,'原始数据'!$A$4:$A$87,364,'原始数据'!$B$4:$B$87,$A7)</x:f>
        <x:v>0.165</x:v>
      </x:c>
      <x:c r="H7" s="27" t="n">
        <x:f>1-B7</x:f>
        <x:v>0</x:v>
      </x:c>
      <x:c r="I7" s="27" t="n">
        <x:f>MAX(1-D7/6,E7,MAX(0,F7-1))</x:f>
        <x:v>0.9972527472527473</x:v>
      </x:c>
      <x:c r="J7" s="27" t="n">
        <x:f>MAX(0,1-MIN(G7,1000)/1000)</x:f>
        <x:v>0.999835</x:v>
      </x:c>
      <x:c r="K7" s="27" t="n">
        <x:f>H7*'评价说明'!$F$4+I7*'评价说明'!$F$5+J7*'评价说明'!$F$6</x:f>
        <x:v>0.6487307362637362</x:v>
      </x:c>
      <x:c r="M7" t="str">
        <x:v>Search Highlight</x:v>
      </x:c>
      <x:c r="N7" t="n">
        <x:f>K7</x:f>
        <x:v>0.6487307362637362</x:v>
      </x:c>
    </x:row>
    <x:row r="8">
      <x:c r="A8" s="26" t="str">
        <x:v>Subtree Focus</x:v>
      </x:c>
      <x:c r="B8" s="27" t="n">
        <x:f>SUMIFS('原始数据'!$D$4:$D$87,'原始数据'!$A$4:$A$87,364,'原始数据'!$B$4:$B$87,$A8)</x:f>
        <x:v>0.02472527472527</x:v>
      </x:c>
      <x:c r="C8" s="54" t="n">
        <x:f>SUMIFS('原始数据'!$E$4:$E$87,'原始数据'!$A$4:$A$87,364,'原始数据'!$B$4:$B$87,$A8)</x:f>
        <x:v>337500</x:v>
      </x:c>
      <x:c r="D8" s="55" t="n">
        <x:f>SUMIFS('原始数据'!$F$4:$F$87,'原始数据'!$A$4:$A$87,364,'原始数据'!$B$4:$B$87,$A8)</x:f>
        <x:v>6</x:v>
      </x:c>
      <x:c r="E8" s="27" t="n">
        <x:f>SUMIFS('原始数据'!$G$4:$G$87,'原始数据'!$A$4:$A$87,364,'原始数据'!$B$4:$B$87,$A8)/364</x:f>
        <x:v>0</x:v>
      </x:c>
      <x:c r="F8" s="56" t="n">
        <x:f>SUMIFS('原始数据'!$H$4:$H$87,'原始数据'!$A$4:$A$87,364,'原始数据'!$B$4:$B$87,$A8)</x:f>
        <x:v>1</x:v>
      </x:c>
      <x:c r="G8" s="57" t="n">
        <x:f>SUMIFS('原始数据'!$I$4:$I$87,'原始数据'!$A$4:$A$87,364,'原始数据'!$B$4:$B$87,$A8)</x:f>
        <x:v>285.824</x:v>
      </x:c>
      <x:c r="H8" s="27" t="n">
        <x:f>1-B8</x:f>
        <x:v>0.97527472527473</x:v>
      </x:c>
      <x:c r="I8" s="27" t="n">
        <x:f>MAX(1-D8/6,E8,MAX(0,F8-1))</x:f>
        <x:v>0</x:v>
      </x:c>
      <x:c r="J8" s="27" t="n">
        <x:f>MAX(0,1-MIN(G8,1000)/1000)</x:f>
        <x:v>0.7141759999999999</x:v>
      </x:c>
      <x:c r="K8" s="27" t="n">
        <x:f>H8*'评价说明'!$F$4+I8*'评价说明'!$F$5+J8*'评价说明'!$F$6</x:f>
        <x:v>0.48418135384615546</x:v>
      </x:c>
      <x:c r="M8" t="str">
        <x:v>Subtree Focus</x:v>
      </x:c>
      <x:c r="N8" t="n">
        <x:f>K8</x:f>
        <x:v>0.48418135384615546</x:v>
      </x:c>
    </x:row>
    <x:row r="9">
      <x:c r="A9" s="26" t="str">
        <x:v>Subtree Collapse</x:v>
      </x:c>
      <x:c r="B9" s="27" t="n">
        <x:f>SUMIFS('原始数据'!$D$4:$D$87,'原始数据'!$A$4:$A$87,364,'原始数据'!$B$4:$B$87,$A9)</x:f>
        <x:v>0.00549450549451</x:v>
      </x:c>
      <x:c r="C9" s="54" t="n">
        <x:f>SUMIFS('原始数据'!$E$4:$E$87,'原始数据'!$A$4:$A$87,364,'原始数据'!$B$4:$B$87,$A9)</x:f>
        <x:v>75000</x:v>
      </x:c>
      <x:c r="D9" s="55" t="n">
        <x:f>SUMIFS('原始数据'!$F$4:$F$87,'原始数据'!$A$4:$A$87,364,'原始数据'!$B$4:$B$87,$A9)</x:f>
        <x:v>4</x:v>
      </x:c>
      <x:c r="E9" s="27" t="n">
        <x:f>SUMIFS('原始数据'!$G$4:$G$87,'原始数据'!$A$4:$A$87,364,'原始数据'!$B$4:$B$87,$A9)/364</x:f>
        <x:v>0</x:v>
      </x:c>
      <x:c r="F9" s="56" t="n">
        <x:f>SUMIFS('原始数据'!$H$4:$H$87,'原始数据'!$A$4:$A$87,364,'原始数据'!$B$4:$B$87,$A9)</x:f>
        <x:v>1</x:v>
      </x:c>
      <x:c r="G9" s="57" t="n">
        <x:f>SUMIFS('原始数据'!$I$4:$I$87,'原始数据'!$A$4:$A$87,364,'原始数据'!$B$4:$B$87,$A9)</x:f>
        <x:v>199.873</x:v>
      </x:c>
      <x:c r="H9" s="27" t="n">
        <x:f>1-B9</x:f>
        <x:v>0.99450549450549</x:v>
      </x:c>
      <x:c r="I9" s="27" t="n">
        <x:f>MAX(1-D9/6,E9,MAX(0,F9-1))</x:f>
        <x:v>0.33333333333333337</x:v>
      </x:c>
      <x:c r="J9" s="27" t="n">
        <x:f>MAX(0,1-MIN(G9,1000)/1000)</x:f>
        <x:v>0.800127</x:v>
      </x:c>
      <x:c r="K9" s="27" t="n">
        <x:f>H9*'评价说明'!$F$4+I9*'评价说明'!$F$5+J9*'评价说明'!$F$6</x:f>
        <x:v>0.6581023230769215</x:v>
      </x:c>
      <x:c r="M9" t="str">
        <x:v>Subtree Collapse</x:v>
      </x:c>
      <x:c r="N9" t="n">
        <x:f>K9</x:f>
        <x:v>0.6581023230769215</x:v>
      </x:c>
    </x:row>
    <x:row r="10">
      <x:c r="A10" s="26" t="str">
        <x:v>Fisheye</x:v>
      </x:c>
      <x:c r="B10" s="27" t="n">
        <x:f>SUMIFS('原始数据'!$D$4:$D$87,'原始数据'!$A$4:$A$87,364,'原始数据'!$B$4:$B$87,$A10)</x:f>
        <x:v>1</x:v>
      </x:c>
      <x:c r="C10" s="54" t="n">
        <x:f>SUMIFS('原始数据'!$E$4:$E$87,'原始数据'!$A$4:$A$87,364,'原始数据'!$B$4:$B$87,$A10)</x:f>
        <x:v>13666500</x:v>
      </x:c>
      <x:c r="D10" s="55" t="n">
        <x:f>SUMIFS('原始数据'!$F$4:$F$87,'原始数据'!$A$4:$A$87,364,'原始数据'!$B$4:$B$87,$A10)</x:f>
        <x:v>6</x:v>
      </x:c>
      <x:c r="E10" s="27" t="n">
        <x:f>SUMIFS('原始数据'!$G$4:$G$87,'原始数据'!$A$4:$A$87,364,'原始数据'!$B$4:$B$87,$A10)/364</x:f>
        <x:v>0</x:v>
      </x:c>
      <x:c r="F10" s="56" t="n">
        <x:f>SUMIFS('原始数据'!$H$4:$H$87,'原始数据'!$A$4:$A$87,364,'原始数据'!$B$4:$B$87,$A10)</x:f>
        <x:v>1.2</x:v>
      </x:c>
      <x:c r="G10" s="57" t="n">
        <x:f>SUMIFS('原始数据'!$I$4:$I$87,'原始数据'!$A$4:$A$87,364,'原始数据'!$B$4:$B$87,$A10)</x:f>
        <x:v>0.256</x:v>
      </x:c>
      <x:c r="H10" s="27" t="n">
        <x:f>1-B10</x:f>
        <x:v>0</x:v>
      </x:c>
      <x:c r="I10" s="27" t="n">
        <x:f>MAX(1-D10/6,E10,MAX(0,F10-1))</x:f>
        <x:v>0.19999999999999996</x:v>
      </x:c>
      <x:c r="J10" s="27" t="n">
        <x:f>MAX(0,1-MIN(G10,1000)/1000)</x:f>
        <x:v>0.999744</x:v>
      </x:c>
      <x:c r="K10" s="27" t="n">
        <x:f>H10*'评价说明'!$F$4+I10*'评价说明'!$F$5+J10*'评价说明'!$F$6</x:f>
        <x:v>0.2899488</x:v>
      </x:c>
      <x:c r="M10" t="str">
        <x:v>Fisheye</x:v>
      </x:c>
      <x:c r="N10" t="n">
        <x:f>K10</x:f>
        <x:v>0.2899488</x:v>
      </x:c>
    </x:row>
    <x:row r="11">
      <x:c r="A11" s="26" t="str">
        <x:v>Minimap</x:v>
      </x:c>
      <x:c r="B11" s="27" t="n">
        <x:f>SUMIFS('原始数据'!$D$4:$D$87,'原始数据'!$A$4:$A$87,364,'原始数据'!$B$4:$B$87,$A11)</x:f>
        <x:v>1</x:v>
      </x:c>
      <x:c r="C11" s="54" t="n">
        <x:f>SUMIFS('原始数据'!$E$4:$E$87,'原始数据'!$A$4:$A$87,364,'原始数据'!$B$4:$B$87,$A11)</x:f>
        <x:v>13650000</x:v>
      </x:c>
      <x:c r="D11" s="55" t="n">
        <x:f>SUMIFS('原始数据'!$F$4:$F$87,'原始数据'!$A$4:$A$87,364,'原始数据'!$B$4:$B$87,$A11)</x:f>
        <x:v>6</x:v>
      </x:c>
      <x:c r="E11" s="27" t="n">
        <x:f>SUMIFS('原始数据'!$G$4:$G$87,'原始数据'!$A$4:$A$87,364,'原始数据'!$B$4:$B$87,$A11)/364</x:f>
        <x:v>0</x:v>
      </x:c>
      <x:c r="F11" s="56" t="n">
        <x:f>SUMIFS('原始数据'!$H$4:$H$87,'原始数据'!$A$4:$A$87,364,'原始数据'!$B$4:$B$87,$A11)</x:f>
        <x:v>1</x:v>
      </x:c>
      <x:c r="G11" s="57" t="n">
        <x:f>SUMIFS('原始数据'!$I$4:$I$87,'原始数据'!$A$4:$A$87,364,'原始数据'!$B$4:$B$87,$A11)</x:f>
        <x:v>0.215</x:v>
      </x:c>
      <x:c r="H11" s="27" t="n">
        <x:f>1-B11</x:f>
        <x:v>0</x:v>
      </x:c>
      <x:c r="I11" s="27" t="n">
        <x:f>MAX(1-D11/6,E11,MAX(0,F11-1))</x:f>
        <x:v>0</x:v>
      </x:c>
      <x:c r="J11" s="27" t="n">
        <x:f>MAX(0,1-MIN(G11,1000)/1000)</x:f>
        <x:v>0.999785</x:v>
      </x:c>
      <x:c r="K11" s="27" t="n">
        <x:f>H11*'评价说明'!$F$4+I11*'评价说明'!$F$5+J11*'评价说明'!$F$6</x:f>
        <x:v>0.19995700000000002</x:v>
      </x:c>
      <x:c r="M11" t="str">
        <x:v>Minimap</x:v>
      </x:c>
      <x:c r="N11" t="n">
        <x:f>K11</x:f>
        <x:v>0.19995700000000002</x:v>
      </x:c>
    </x:row>
    <x:row r="12">
      <x:c r="A12" s="26" t="str">
        <x:v>Fit to View</x:v>
      </x:c>
      <x:c r="B12" s="27" t="n">
        <x:f>SUMIFS('原始数据'!$D$4:$D$87,'原始数据'!$A$4:$A$87,364,'原始数据'!$B$4:$B$87,$A12)</x:f>
        <x:v>1</x:v>
      </x:c>
      <x:c r="C12" s="54" t="n">
        <x:f>SUMIFS('原始数据'!$E$4:$E$87,'原始数据'!$A$4:$A$87,364,'原始数据'!$B$4:$B$87,$A12)</x:f>
        <x:v>13650000</x:v>
      </x:c>
      <x:c r="D12" s="55" t="n">
        <x:f>SUMIFS('原始数据'!$F$4:$F$87,'原始数据'!$A$4:$A$87,364,'原始数据'!$B$4:$B$87,$A12)</x:f>
        <x:v>6</x:v>
      </x:c>
      <x:c r="E12" s="27" t="n">
        <x:f>SUMIFS('原始数据'!$G$4:$G$87,'原始数据'!$A$4:$A$87,364,'原始数据'!$B$4:$B$87,$A12)/364</x:f>
        <x:v>0</x:v>
      </x:c>
      <x:c r="F12" s="56" t="n">
        <x:f>SUMIFS('原始数据'!$H$4:$H$87,'原始数据'!$A$4:$A$87,364,'原始数据'!$B$4:$B$87,$A12)</x:f>
        <x:v>1</x:v>
      </x:c>
      <x:c r="G12" s="57" t="n">
        <x:f>SUMIFS('原始数据'!$I$4:$I$87,'原始数据'!$A$4:$A$87,364,'原始数据'!$B$4:$B$87,$A12)</x:f>
        <x:v>0.196</x:v>
      </x:c>
      <x:c r="H12" s="27" t="n">
        <x:f>1-B12</x:f>
        <x:v>0</x:v>
      </x:c>
      <x:c r="I12" s="27" t="n">
        <x:f>MAX(1-D12/6,E12,MAX(0,F12-1))</x:f>
        <x:v>0</x:v>
      </x:c>
      <x:c r="J12" s="27" t="n">
        <x:f>MAX(0,1-MIN(G12,1000)/1000)</x:f>
        <x:v>0.999804</x:v>
      </x:c>
      <x:c r="K12" s="27" t="n">
        <x:f>H12*'评价说明'!$F$4+I12*'评价说明'!$F$5+J12*'评价说明'!$F$6</x:f>
        <x:v>0.19996080000000002</x:v>
      </x:c>
      <x:c r="M12" t="str">
        <x:v>Fit to View</x:v>
      </x:c>
      <x:c r="N12" t="n">
        <x:f>K12</x:f>
        <x:v>0.19996080000000002</x:v>
      </x:c>
    </x:row>
    <x:row r="15">
      <x:c r="A15" s="77" t="str">
        <x:v>自动综合分只比较可由程序测量的几何、信息/导航和性能指标，不代表最终人的可读性。Minimap、Fit 和 Fisheye 的价值无法由节点减少率完整表达；正式结论必须补充参与者实验。</x:v>
      </x:c>
      <x:c r="B15" s="78" t="str">
        <x:v>自动综合分只比较可由程序测量的几何、信息/导航和性能指标，不代表最终人的可读性。Minimap、Fit 和 Fisheye 的价值无法由节点减少率完整表达；正式结论必须补充参与者实验。</x:v>
      </x:c>
      <x:c r="C15" s="78" t="str">
        <x:v>自动综合分只比较可由程序测量的几何、信息/导航和性能指标，不代表最终人的可读性。Minimap、Fit 和 Fisheye 的价值无法由节点减少率完整表达；正式结论必须补充参与者实验。</x:v>
      </x:c>
      <x:c r="D15" s="78" t="str">
        <x:v>自动综合分只比较可由程序测量的几何、信息/导航和性能指标，不代表最终人的可读性。Minimap、Fit 和 Fisheye 的价值无法由节点减少率完整表达；正式结论必须补充参与者实验。</x:v>
      </x:c>
      <x:c r="E15" s="78" t="str">
        <x:v>自动综合分只比较可由程序测量的几何、信息/导航和性能指标，不代表最终人的可读性。Minimap、Fit 和 Fisheye 的价值无法由节点减少率完整表达；正式结论必须补充参与者实验。</x:v>
      </x:c>
      <x:c r="F15" s="78" t="str">
        <x:v>自动综合分只比较可由程序测量的几何、信息/导航和性能指标，不代表最终人的可读性。Minimap、Fit 和 Fisheye 的价值无法由节点减少率完整表达；正式结论必须补充参与者实验。</x:v>
      </x:c>
      <x:c r="G15" s="78" t="str">
        <x:v>自动综合分只比较可由程序测量的几何、信息/导航和性能指标，不代表最终人的可读性。Minimap、Fit 和 Fisheye 的价值无法由节点减少率完整表达；正式结论必须补充参与者实验。</x:v>
      </x:c>
      <x:c r="H15" s="78" t="str">
        <x:v>自动综合分只比较可由程序测量的几何、信息/导航和性能指标，不代表最终人的可读性。Minimap、Fit 和 Fisheye 的价值无法由节点减少率完整表达；正式结论必须补充参与者实验。</x:v>
      </x:c>
      <x:c r="I15" s="78" t="str">
        <x:v>自动综合分只比较可由程序测量的几何、信息/导航和性能指标，不代表最终人的可读性。Minimap、Fit 和 Fisheye 的价值无法由节点减少率完整表达；正式结论必须补充参与者实验。</x:v>
      </x:c>
      <x:c r="J15" s="78" t="str">
        <x:v>自动综合分只比较可由程序测量的几何、信息/导航和性能指标，不代表最终人的可读性。Minimap、Fit 和 Fisheye 的价值无法由节点减少率完整表达；正式结论必须补充参与者实验。</x:v>
      </x:c>
      <x:c r="K15" s="79" t="str">
        <x:v>自动综合分只比较可由程序测量的几何、信息/导航和性能指标，不代表最终人的可读性。Minimap、Fit 和 Fisheye 的价值无法由节点减少率完整表达；正式结论必须补充参与者实验。</x:v>
      </x:c>
    </x:row>
    <x:row r="16">
      <x:c r="A16" s="80" t="str">
        <x:v>自动综合分只比较可由程序测量的几何、信息/导航和性能指标，不代表最终人的可读性。Minimap、Fit 和 Fisheye 的价值无法由节点减少率完整表达；正式结论必须补充参与者实验。</x:v>
      </x:c>
      <x:c r="B16" s="81" t="str">
        <x:v>自动综合分只比较可由程序测量的几何、信息/导航和性能指标，不代表最终人的可读性。Minimap、Fit 和 Fisheye 的价值无法由节点减少率完整表达；正式结论必须补充参与者实验。</x:v>
      </x:c>
      <x:c r="C16" s="81" t="str">
        <x:v>自动综合分只比较可由程序测量的几何、信息/导航和性能指标，不代表最终人的可读性。Minimap、Fit 和 Fisheye 的价值无法由节点减少率完整表达；正式结论必须补充参与者实验。</x:v>
      </x:c>
      <x:c r="D16" s="81" t="str">
        <x:v>自动综合分只比较可由程序测量的几何、信息/导航和性能指标，不代表最终人的可读性。Minimap、Fit 和 Fisheye 的价值无法由节点减少率完整表达；正式结论必须补充参与者实验。</x:v>
      </x:c>
      <x:c r="E16" s="81" t="str">
        <x:v>自动综合分只比较可由程序测量的几何、信息/导航和性能指标，不代表最终人的可读性。Minimap、Fit 和 Fisheye 的价值无法由节点减少率完整表达；正式结论必须补充参与者实验。</x:v>
      </x:c>
      <x:c r="F16" s="81" t="str">
        <x:v>自动综合分只比较可由程序测量的几何、信息/导航和性能指标，不代表最终人的可读性。Minimap、Fit 和 Fisheye 的价值无法由节点减少率完整表达；正式结论必须补充参与者实验。</x:v>
      </x:c>
      <x:c r="G16" s="81" t="str">
        <x:v>自动综合分只比较可由程序测量的几何、信息/导航和性能指标，不代表最终人的可读性。Minimap、Fit 和 Fisheye 的价值无法由节点减少率完整表达；正式结论必须补充参与者实验。</x:v>
      </x:c>
      <x:c r="H16" s="81" t="str">
        <x:v>自动综合分只比较可由程序测量的几何、信息/导航和性能指标，不代表最终人的可读性。Minimap、Fit 和 Fisheye 的价值无法由节点减少率完整表达；正式结论必须补充参与者实验。</x:v>
      </x:c>
      <x:c r="I16" s="81" t="str">
        <x:v>自动综合分只比较可由程序测量的几何、信息/导航和性能指标，不代表最终人的可读性。Minimap、Fit 和 Fisheye 的价值无法由节点减少率完整表达；正式结论必须补充参与者实验。</x:v>
      </x:c>
      <x:c r="J16" s="81" t="str">
        <x:v>自动综合分只比较可由程序测量的几何、信息/导航和性能指标，不代表最终人的可读性。Minimap、Fit 和 Fisheye 的价值无法由节点减少率完整表达；正式结论必须补充参与者实验。</x:v>
      </x:c>
      <x:c r="K16" s="82" t="str">
        <x:v>自动综合分只比较可由程序测量的几何、信息/导航和性能指标，不代表最终人的可读性。Minimap、Fit 和 Fisheye 的价值无法由节点减少率完整表达；正式结论必须补充参与者实验。</x:v>
      </x:c>
    </x:row>
    <x:row r="17">
      <x:c r="A17" s="83" t="str">
        <x:v>自动综合分只比较可由程序测量的几何、信息/导航和性能指标，不代表最终人的可读性。Minimap、Fit 和 Fisheye 的价值无法由节点减少率完整表达；正式结论必须补充参与者实验。</x:v>
      </x:c>
      <x:c r="B17" s="84" t="str">
        <x:v>自动综合分只比较可由程序测量的几何、信息/导航和性能指标，不代表最终人的可读性。Minimap、Fit 和 Fisheye 的价值无法由节点减少率完整表达；正式结论必须补充参与者实验。</x:v>
      </x:c>
      <x:c r="C17" s="84" t="str">
        <x:v>自动综合分只比较可由程序测量的几何、信息/导航和性能指标，不代表最终人的可读性。Minimap、Fit 和 Fisheye 的价值无法由节点减少率完整表达；正式结论必须补充参与者实验。</x:v>
      </x:c>
      <x:c r="D17" s="84" t="str">
        <x:v>自动综合分只比较可由程序测量的几何、信息/导航和性能指标，不代表最终人的可读性。Minimap、Fit 和 Fisheye 的价值无法由节点减少率完整表达；正式结论必须补充参与者实验。</x:v>
      </x:c>
      <x:c r="E17" s="84" t="str">
        <x:v>自动综合分只比较可由程序测量的几何、信息/导航和性能指标，不代表最终人的可读性。Minimap、Fit 和 Fisheye 的价值无法由节点减少率完整表达；正式结论必须补充参与者实验。</x:v>
      </x:c>
      <x:c r="F17" s="84" t="str">
        <x:v>自动综合分只比较可由程序测量的几何、信息/导航和性能指标，不代表最终人的可读性。Minimap、Fit 和 Fisheye 的价值无法由节点减少率完整表达；正式结论必须补充参与者实验。</x:v>
      </x:c>
      <x:c r="G17" s="84" t="str">
        <x:v>自动综合分只比较可由程序测量的几何、信息/导航和性能指标，不代表最终人的可读性。Minimap、Fit 和 Fisheye 的价值无法由节点减少率完整表达；正式结论必须补充参与者实验。</x:v>
      </x:c>
      <x:c r="H17" s="84" t="str">
        <x:v>自动综合分只比较可由程序测量的几何、信息/导航和性能指标，不代表最终人的可读性。Minimap、Fit 和 Fisheye 的价值无法由节点减少率完整表达；正式结论必须补充参与者实验。</x:v>
      </x:c>
      <x:c r="I17" s="84" t="str">
        <x:v>自动综合分只比较可由程序测量的几何、信息/导航和性能指标，不代表最终人的可读性。Minimap、Fit 和 Fisheye 的价值无法由节点减少率完整表达；正式结论必须补充参与者实验。</x:v>
      </x:c>
      <x:c r="J17" s="84" t="str">
        <x:v>自动综合分只比较可由程序测量的几何、信息/导航和性能指标，不代表最终人的可读性。Minimap、Fit 和 Fisheye 的价值无法由节点减少率完整表达；正式结论必须补充参与者实验。</x:v>
      </x:c>
      <x:c r="K17" s="85" t="str">
        <x:v>自动综合分只比较可由程序测量的几何、信息/导航和性能指标，不代表最终人的可读性。Minimap、Fit 和 Fisheye 的价值无法由节点减少率完整表达；正式结论必须补充参与者实验。</x:v>
      </x:c>
    </x:row>
  </x:sheetData>
  <x:mergeCells>
    <x:mergeCell ref="A1:K1"/>
    <x:mergeCell ref="A15:K17"/>
  </x:mergeCells>
  <x:pageMargins left="0.7" right="0.7" top="0.75" bottom="0.75" header="0.3" footer="0.3"/>
  <x:drawing xmlns:r="http://schemas.openxmlformats.org/officeDocument/2006/relationships" r:id="R073f3e162f284e9d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7" hidden="0" customWidth="1"/>
    <x:col min="3" max="3" width="17" hidden="0" customWidth="1"/>
    <x:col min="4" max="4" width="17" hidden="0" customWidth="1"/>
    <x:col min="5" max="5" width="2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28" hidden="0" customWidth="1"/>
  </x:cols>
  <x:sheetData>
    <x:row r="1" ht="34" customHeight="1">
      <x:c r="A1" s="5" t="str">
        <x:v>用户实验快速记录模板（待采集）</x:v>
      </x:c>
      <x:c r="B1" s="5" t="str">
        <x:v>用户实验快速记录模板（待采集）</x:v>
      </x:c>
      <x:c r="C1" s="5" t="str">
        <x:v>用户实验快速记录模板（待采集）</x:v>
      </x:c>
      <x:c r="D1" s="5" t="str">
        <x:v>用户实验快速记录模板（待采集）</x:v>
      </x:c>
      <x:c r="E1" s="5" t="str">
        <x:v>用户实验快速记录模板（待采集）</x:v>
      </x:c>
      <x:c r="F1" s="5" t="str">
        <x:v>用户实验快速记录模板（待采集）</x:v>
      </x:c>
      <x:c r="G1" s="5" t="str">
        <x:v>用户实验快速记录模板（待采集）</x:v>
      </x:c>
      <x:c r="H1" s="5" t="str">
        <x:v>用户实验快速记录模板（待采集）</x:v>
      </x:c>
      <x:c r="I1" s="5" t="str">
        <x:v>用户实验快速记录模板（待采集）</x:v>
      </x:c>
      <x:c r="J1" s="5" t="str">
        <x:v>用户实验快速记录模板（待采集）</x:v>
      </x:c>
      <x:c r="K1" s="5" t="str">
        <x:v>用户实验快速记录模板（待采集）</x:v>
      </x:c>
      <x:c r="L1" s="5" t="str">
        <x:v>用户实验快速记录模板（待采集）</x:v>
      </x:c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3">
      <x:c r="A3" s="11" t="str">
        <x:v>参与者</x:v>
      </x:c>
      <x:c r="B3" s="11" t="str">
        <x:v>经验等级</x:v>
      </x:c>
      <x:c r="C3" s="11" t="str">
        <x:v>树规模</x:v>
      </x:c>
      <x:c r="D3" s="11" t="str">
        <x:v>显示方法</x:v>
      </x:c>
      <x:c r="E3" s="11" t="str">
        <x:v>任务</x:v>
      </x:c>
      <x:c r="F3" s="11" t="str">
        <x:v>完成时间(s)</x:v>
      </x:c>
      <x:c r="G3" s="11" t="str">
        <x:v>错误次数</x:v>
      </x:c>
      <x:c r="H3" s="11" t="str">
        <x:v>缩放/平移次数</x:v>
      </x:c>
      <x:c r="I3" s="11" t="str">
        <x:v>成功</x:v>
      </x:c>
      <x:c r="J3" s="11" t="str">
        <x:v>可读性(1-7)</x:v>
      </x:c>
      <x:c r="K3" s="11" t="str">
        <x:v>认知负担(1-7)</x:v>
      </x:c>
      <x:c r="L3" s="11" t="str">
        <x:v>备注</x:v>
      </x:c>
    </x:row>
    <x:row r="4">
      <x:c r="A4" s="94" t="str">
        <x:v>P01</x:v>
      </x:c>
      <x:c r="B4" s="94"/>
      <x:c r="C4" s="94"/>
      <x:c r="D4" s="94"/>
      <x:c r="E4" s="94" t="str">
        <x:v>定位指定 Action</x:v>
      </x:c>
      <x:c r="F4" s="94"/>
      <x:c r="G4" s="94"/>
      <x:c r="H4" s="94"/>
      <x:c r="I4" s="94"/>
      <x:c r="J4" s="94"/>
      <x:c r="K4" s="94"/>
      <x:c r="L4" s="94"/>
    </x:row>
    <x:row r="5">
      <x:c r="A5" s="94" t="str">
        <x:v>P01</x:v>
      </x:c>
      <x:c r="B5" s="94"/>
      <x:c r="C5" s="94"/>
      <x:c r="D5" s="94"/>
      <x:c r="E5" s="94" t="str">
        <x:v>识别当前活动链</x:v>
      </x:c>
      <x:c r="F5" s="94"/>
      <x:c r="G5" s="94"/>
      <x:c r="H5" s="94"/>
      <x:c r="I5" s="94"/>
      <x:c r="J5" s="94"/>
      <x:c r="K5" s="94"/>
      <x:c r="L5" s="94"/>
    </x:row>
    <x:row r="6">
      <x:c r="A6" s="94" t="str">
        <x:v>P01</x:v>
      </x:c>
      <x:c r="B6" s="94"/>
      <x:c r="C6" s="94"/>
      <x:c r="D6" s="94"/>
      <x:c r="E6" s="94" t="str">
        <x:v>编辑 Decorator 条件</x:v>
      </x:c>
      <x:c r="F6" s="94"/>
      <x:c r="G6" s="94"/>
      <x:c r="H6" s="94"/>
      <x:c r="I6" s="94"/>
      <x:c r="J6" s="94"/>
      <x:c r="K6" s="94"/>
      <x:c r="L6" s="94"/>
    </x:row>
    <x:row r="7">
      <x:c r="A7" s="94" t="str">
        <x:v>P02</x:v>
      </x:c>
      <x:c r="B7" s="94"/>
      <x:c r="C7" s="94"/>
      <x:c r="D7" s="94"/>
      <x:c r="E7" s="94" t="str">
        <x:v>定位指定 Action</x:v>
      </x:c>
      <x:c r="F7" s="94"/>
      <x:c r="G7" s="94"/>
      <x:c r="H7" s="94"/>
      <x:c r="I7" s="94"/>
      <x:c r="J7" s="94"/>
      <x:c r="K7" s="94"/>
      <x:c r="L7" s="94"/>
    </x:row>
    <x:row r="8">
      <x:c r="A8" s="94" t="str">
        <x:v>P02</x:v>
      </x:c>
      <x:c r="B8" s="94"/>
      <x:c r="C8" s="94"/>
      <x:c r="D8" s="94"/>
      <x:c r="E8" s="94" t="str">
        <x:v>识别当前活动链</x:v>
      </x:c>
      <x:c r="F8" s="94"/>
      <x:c r="G8" s="94"/>
      <x:c r="H8" s="94"/>
      <x:c r="I8" s="94"/>
      <x:c r="J8" s="94"/>
      <x:c r="K8" s="94"/>
      <x:c r="L8" s="94"/>
    </x:row>
    <x:row r="9">
      <x:c r="A9" s="94" t="str">
        <x:v>P02</x:v>
      </x:c>
      <x:c r="B9" s="94"/>
      <x:c r="C9" s="94"/>
      <x:c r="D9" s="94"/>
      <x:c r="E9" s="94" t="str">
        <x:v>编辑 Decorator 条件</x:v>
      </x:c>
      <x:c r="F9" s="94"/>
      <x:c r="G9" s="94"/>
      <x:c r="H9" s="94"/>
      <x:c r="I9" s="94"/>
      <x:c r="J9" s="94"/>
      <x:c r="K9" s="94"/>
      <x:c r="L9" s="94"/>
    </x:row>
    <x:row r="10">
      <x:c r="A10" s="94" t="str">
        <x:v>P03</x:v>
      </x:c>
      <x:c r="B10" s="94"/>
      <x:c r="C10" s="94"/>
      <x:c r="D10" s="94"/>
      <x:c r="E10" s="94" t="str">
        <x:v>定位指定 Action</x:v>
      </x:c>
      <x:c r="F10" s="94"/>
      <x:c r="G10" s="94"/>
      <x:c r="H10" s="94"/>
      <x:c r="I10" s="94"/>
      <x:c r="J10" s="94"/>
      <x:c r="K10" s="94"/>
      <x:c r="L10" s="94"/>
    </x:row>
    <x:row r="11">
      <x:c r="A11" s="94" t="str">
        <x:v>P03</x:v>
      </x:c>
      <x:c r="B11" s="94"/>
      <x:c r="C11" s="94"/>
      <x:c r="D11" s="94"/>
      <x:c r="E11" s="94" t="str">
        <x:v>识别当前活动链</x:v>
      </x:c>
      <x:c r="F11" s="94"/>
      <x:c r="G11" s="94"/>
      <x:c r="H11" s="94"/>
      <x:c r="I11" s="94"/>
      <x:c r="J11" s="94"/>
      <x:c r="K11" s="94"/>
      <x:c r="L11" s="94"/>
    </x:row>
    <x:row r="12">
      <x:c r="A12" s="94" t="str">
        <x:v>P03</x:v>
      </x:c>
      <x:c r="B12" s="94"/>
      <x:c r="C12" s="94"/>
      <x:c r="D12" s="94"/>
      <x:c r="E12" s="94" t="str">
        <x:v>编辑 Decorator 条件</x:v>
      </x:c>
      <x:c r="F12" s="94"/>
      <x:c r="G12" s="94"/>
      <x:c r="H12" s="94"/>
      <x:c r="I12" s="94"/>
      <x:c r="J12" s="94"/>
      <x:c r="K12" s="94"/>
      <x:c r="L12" s="94"/>
    </x:row>
    <x:row r="13">
      <x:c r="A13" s="94" t="str">
        <x:v>P04</x:v>
      </x:c>
      <x:c r="B13" s="94"/>
      <x:c r="C13" s="94"/>
      <x:c r="D13" s="94"/>
      <x:c r="E13" s="94" t="str">
        <x:v>定位指定 Action</x:v>
      </x:c>
      <x:c r="F13" s="94"/>
      <x:c r="G13" s="94"/>
      <x:c r="H13" s="94"/>
      <x:c r="I13" s="94"/>
      <x:c r="J13" s="94"/>
      <x:c r="K13" s="94"/>
      <x:c r="L13" s="94"/>
    </x:row>
    <x:row r="14">
      <x:c r="A14" s="94" t="str">
        <x:v>P04</x:v>
      </x:c>
      <x:c r="B14" s="94"/>
      <x:c r="C14" s="94"/>
      <x:c r="D14" s="94"/>
      <x:c r="E14" s="94" t="str">
        <x:v>识别当前活动链</x:v>
      </x:c>
      <x:c r="F14" s="94"/>
      <x:c r="G14" s="94"/>
      <x:c r="H14" s="94"/>
      <x:c r="I14" s="94"/>
      <x:c r="J14" s="94"/>
      <x:c r="K14" s="94"/>
      <x:c r="L14" s="94"/>
    </x:row>
    <x:row r="15">
      <x:c r="A15" s="94" t="str">
        <x:v>P04</x:v>
      </x:c>
      <x:c r="B15" s="94"/>
      <x:c r="C15" s="94"/>
      <x:c r="D15" s="94"/>
      <x:c r="E15" s="94" t="str">
        <x:v>编辑 Decorator 条件</x:v>
      </x:c>
      <x:c r="F15" s="94"/>
      <x:c r="G15" s="94"/>
      <x:c r="H15" s="94"/>
      <x:c r="I15" s="94"/>
      <x:c r="J15" s="94"/>
      <x:c r="K15" s="94"/>
      <x:c r="L15" s="94"/>
    </x:row>
    <x:row r="16">
      <x:c r="A16" s="94" t="str">
        <x:v>P05</x:v>
      </x:c>
      <x:c r="B16" s="94"/>
      <x:c r="C16" s="94"/>
      <x:c r="D16" s="94"/>
      <x:c r="E16" s="94" t="str">
        <x:v>定位指定 Action</x:v>
      </x:c>
      <x:c r="F16" s="94"/>
      <x:c r="G16" s="94"/>
      <x:c r="H16" s="94"/>
      <x:c r="I16" s="94"/>
      <x:c r="J16" s="94"/>
      <x:c r="K16" s="94"/>
      <x:c r="L16" s="94"/>
    </x:row>
    <x:row r="17">
      <x:c r="A17" s="94" t="str">
        <x:v>P05</x:v>
      </x:c>
      <x:c r="B17" s="94"/>
      <x:c r="C17" s="94"/>
      <x:c r="D17" s="94"/>
      <x:c r="E17" s="94" t="str">
        <x:v>识别当前活动链</x:v>
      </x:c>
      <x:c r="F17" s="94"/>
      <x:c r="G17" s="94"/>
      <x:c r="H17" s="94"/>
      <x:c r="I17" s="94"/>
      <x:c r="J17" s="94"/>
      <x:c r="K17" s="94"/>
      <x:c r="L17" s="94"/>
    </x:row>
    <x:row r="18">
      <x:c r="A18" s="94" t="str">
        <x:v>P05</x:v>
      </x:c>
      <x:c r="B18" s="94"/>
      <x:c r="C18" s="94"/>
      <x:c r="D18" s="94"/>
      <x:c r="E18" s="94" t="str">
        <x:v>编辑 Decorator 条件</x:v>
      </x:c>
      <x:c r="F18" s="94"/>
      <x:c r="G18" s="94"/>
      <x:c r="H18" s="94"/>
      <x:c r="I18" s="94"/>
      <x:c r="J18" s="94"/>
      <x:c r="K18" s="94"/>
      <x:c r="L18" s="94"/>
    </x:row>
    <x:row r="19">
      <x:c r="A19" s="94" t="str">
        <x:v>P06</x:v>
      </x:c>
      <x:c r="B19" s="94"/>
      <x:c r="C19" s="94"/>
      <x:c r="D19" s="94"/>
      <x:c r="E19" s="94" t="str">
        <x:v>定位指定 Action</x:v>
      </x:c>
      <x:c r="F19" s="94"/>
      <x:c r="G19" s="94"/>
      <x:c r="H19" s="94"/>
      <x:c r="I19" s="94"/>
      <x:c r="J19" s="94"/>
      <x:c r="K19" s="94"/>
      <x:c r="L19" s="94"/>
    </x:row>
    <x:row r="20">
      <x:c r="A20" s="94" t="str">
        <x:v>P06</x:v>
      </x:c>
      <x:c r="B20" s="94"/>
      <x:c r="C20" s="94"/>
      <x:c r="D20" s="94"/>
      <x:c r="E20" s="94" t="str">
        <x:v>识别当前活动链</x:v>
      </x:c>
      <x:c r="F20" s="94"/>
      <x:c r="G20" s="94"/>
      <x:c r="H20" s="94"/>
      <x:c r="I20" s="94"/>
      <x:c r="J20" s="94"/>
      <x:c r="K20" s="94"/>
      <x:c r="L20" s="94"/>
    </x:row>
    <x:row r="21">
      <x:c r="A21" s="94" t="str">
        <x:v>P06</x:v>
      </x:c>
      <x:c r="B21" s="94"/>
      <x:c r="C21" s="94"/>
      <x:c r="D21" s="94"/>
      <x:c r="E21" s="94" t="str">
        <x:v>编辑 Decorator 条件</x:v>
      </x:c>
      <x:c r="F21" s="94"/>
      <x:c r="G21" s="94"/>
      <x:c r="H21" s="94"/>
      <x:c r="I21" s="94"/>
      <x:c r="J21" s="94"/>
      <x:c r="K21" s="94"/>
      <x:c r="L21" s="94"/>
    </x:row>
    <x:row r="22">
      <x:c r="A22" s="94" t="str">
        <x:v>P07</x:v>
      </x:c>
      <x:c r="B22" s="94"/>
      <x:c r="C22" s="94"/>
      <x:c r="D22" s="94"/>
      <x:c r="E22" s="94" t="str">
        <x:v>定位指定 Action</x:v>
      </x:c>
      <x:c r="F22" s="94"/>
      <x:c r="G22" s="94"/>
      <x:c r="H22" s="94"/>
      <x:c r="I22" s="94"/>
      <x:c r="J22" s="94"/>
      <x:c r="K22" s="94"/>
      <x:c r="L22" s="94"/>
    </x:row>
    <x:row r="23">
      <x:c r="A23" s="94" t="str">
        <x:v>P07</x:v>
      </x:c>
      <x:c r="B23" s="94"/>
      <x:c r="C23" s="94"/>
      <x:c r="D23" s="94"/>
      <x:c r="E23" s="94" t="str">
        <x:v>识别当前活动链</x:v>
      </x:c>
      <x:c r="F23" s="94"/>
      <x:c r="G23" s="94"/>
      <x:c r="H23" s="94"/>
      <x:c r="I23" s="94"/>
      <x:c r="J23" s="94"/>
      <x:c r="K23" s="94"/>
      <x:c r="L23" s="94"/>
    </x:row>
    <x:row r="24">
      <x:c r="A24" s="94" t="str">
        <x:v>P07</x:v>
      </x:c>
      <x:c r="B24" s="94"/>
      <x:c r="C24" s="94"/>
      <x:c r="D24" s="94"/>
      <x:c r="E24" s="94" t="str">
        <x:v>编辑 Decorator 条件</x:v>
      </x:c>
      <x:c r="F24" s="94"/>
      <x:c r="G24" s="94"/>
      <x:c r="H24" s="94"/>
      <x:c r="I24" s="94"/>
      <x:c r="J24" s="94"/>
      <x:c r="K24" s="94"/>
      <x:c r="L24" s="94"/>
    </x:row>
    <x:row r="25">
      <x:c r="A25" s="94" t="str">
        <x:v>P08</x:v>
      </x:c>
      <x:c r="B25" s="94"/>
      <x:c r="C25" s="94"/>
      <x:c r="D25" s="94"/>
      <x:c r="E25" s="94" t="str">
        <x:v>定位指定 Action</x:v>
      </x:c>
      <x:c r="F25" s="94"/>
      <x:c r="G25" s="94"/>
      <x:c r="H25" s="94"/>
      <x:c r="I25" s="94"/>
      <x:c r="J25" s="94"/>
      <x:c r="K25" s="94"/>
      <x:c r="L25" s="94"/>
    </x:row>
    <x:row r="26">
      <x:c r="A26" s="94" t="str">
        <x:v>P08</x:v>
      </x:c>
      <x:c r="B26" s="94"/>
      <x:c r="C26" s="94"/>
      <x:c r="D26" s="94"/>
      <x:c r="E26" s="94" t="str">
        <x:v>识别当前活动链</x:v>
      </x:c>
      <x:c r="F26" s="94"/>
      <x:c r="G26" s="94"/>
      <x:c r="H26" s="94"/>
      <x:c r="I26" s="94"/>
      <x:c r="J26" s="94"/>
      <x:c r="K26" s="94"/>
      <x:c r="L26" s="94"/>
    </x:row>
    <x:row r="27">
      <x:c r="A27" s="94" t="str">
        <x:v>P08</x:v>
      </x:c>
      <x:c r="B27" s="94"/>
      <x:c r="C27" s="94"/>
      <x:c r="D27" s="94"/>
      <x:c r="E27" s="94" t="str">
        <x:v>编辑 Decorator 条件</x:v>
      </x:c>
      <x:c r="F27" s="94"/>
      <x:c r="G27" s="94"/>
      <x:c r="H27" s="94"/>
      <x:c r="I27" s="94"/>
      <x:c r="J27" s="94"/>
      <x:c r="K27" s="94"/>
      <x:c r="L27" s="94"/>
    </x:row>
    <x:row r="28">
      <x:c r="A28" s="94" t="str">
        <x:v>P09</x:v>
      </x:c>
      <x:c r="B28" s="94"/>
      <x:c r="C28" s="94"/>
      <x:c r="D28" s="94"/>
      <x:c r="E28" s="94" t="str">
        <x:v>定位指定 Action</x:v>
      </x:c>
      <x:c r="F28" s="94"/>
      <x:c r="G28" s="94"/>
      <x:c r="H28" s="94"/>
      <x:c r="I28" s="94"/>
      <x:c r="J28" s="94"/>
      <x:c r="K28" s="94"/>
      <x:c r="L28" s="94"/>
    </x:row>
    <x:row r="29">
      <x:c r="A29" s="94" t="str">
        <x:v>P09</x:v>
      </x:c>
      <x:c r="B29" s="94"/>
      <x:c r="C29" s="94"/>
      <x:c r="D29" s="94"/>
      <x:c r="E29" s="94" t="str">
        <x:v>识别当前活动链</x:v>
      </x:c>
      <x:c r="F29" s="94"/>
      <x:c r="G29" s="94"/>
      <x:c r="H29" s="94"/>
      <x:c r="I29" s="94"/>
      <x:c r="J29" s="94"/>
      <x:c r="K29" s="94"/>
      <x:c r="L29" s="94"/>
    </x:row>
    <x:row r="30">
      <x:c r="A30" s="94" t="str">
        <x:v>P09</x:v>
      </x:c>
      <x:c r="B30" s="94"/>
      <x:c r="C30" s="94"/>
      <x:c r="D30" s="94"/>
      <x:c r="E30" s="94" t="str">
        <x:v>编辑 Decorator 条件</x:v>
      </x:c>
      <x:c r="F30" s="94"/>
      <x:c r="G30" s="94"/>
      <x:c r="H30" s="94"/>
      <x:c r="I30" s="94"/>
      <x:c r="J30" s="94"/>
      <x:c r="K30" s="94"/>
      <x:c r="L30" s="94"/>
    </x:row>
    <x:row r="31">
      <x:c r="A31" s="94" t="str">
        <x:v>P10</x:v>
      </x:c>
      <x:c r="B31" s="94"/>
      <x:c r="C31" s="94"/>
      <x:c r="D31" s="94"/>
      <x:c r="E31" s="94" t="str">
        <x:v>定位指定 Action</x:v>
      </x:c>
      <x:c r="F31" s="94"/>
      <x:c r="G31" s="94"/>
      <x:c r="H31" s="94"/>
      <x:c r="I31" s="94"/>
      <x:c r="J31" s="94"/>
      <x:c r="K31" s="94"/>
      <x:c r="L31" s="94"/>
    </x:row>
    <x:row r="32">
      <x:c r="A32" s="94" t="str">
        <x:v>P10</x:v>
      </x:c>
      <x:c r="B32" s="94"/>
      <x:c r="C32" s="94"/>
      <x:c r="D32" s="94"/>
      <x:c r="E32" s="94" t="str">
        <x:v>识别当前活动链</x:v>
      </x:c>
      <x:c r="F32" s="94"/>
      <x:c r="G32" s="94"/>
      <x:c r="H32" s="94"/>
      <x:c r="I32" s="94"/>
      <x:c r="J32" s="94"/>
      <x:c r="K32" s="94"/>
      <x:c r="L32" s="94"/>
    </x:row>
    <x:row r="33">
      <x:c r="A33" s="94" t="str">
        <x:v>P10</x:v>
      </x:c>
      <x:c r="B33" s="94"/>
      <x:c r="C33" s="94"/>
      <x:c r="D33" s="94"/>
      <x:c r="E33" s="94" t="str">
        <x:v>编辑 Decorator 条件</x:v>
      </x:c>
      <x:c r="F33" s="94"/>
      <x:c r="G33" s="94"/>
      <x:c r="H33" s="94"/>
      <x:c r="I33" s="94"/>
      <x:c r="J33" s="94"/>
      <x:c r="K33" s="94"/>
      <x:c r="L33" s="94"/>
    </x:row>
    <x:row r="34">
      <x:c r="A34" s="94" t="str">
        <x:v>P11</x:v>
      </x:c>
      <x:c r="B34" s="94"/>
      <x:c r="C34" s="94"/>
      <x:c r="D34" s="94"/>
      <x:c r="E34" s="94" t="str">
        <x:v>定位指定 Action</x:v>
      </x:c>
      <x:c r="F34" s="94"/>
      <x:c r="G34" s="94"/>
      <x:c r="H34" s="94"/>
      <x:c r="I34" s="94"/>
      <x:c r="J34" s="94"/>
      <x:c r="K34" s="94"/>
      <x:c r="L34" s="94"/>
    </x:row>
    <x:row r="35">
      <x:c r="A35" s="94" t="str">
        <x:v>P11</x:v>
      </x:c>
      <x:c r="B35" s="94"/>
      <x:c r="C35" s="94"/>
      <x:c r="D35" s="94"/>
      <x:c r="E35" s="94" t="str">
        <x:v>识别当前活动链</x:v>
      </x:c>
      <x:c r="F35" s="94"/>
      <x:c r="G35" s="94"/>
      <x:c r="H35" s="94"/>
      <x:c r="I35" s="94"/>
      <x:c r="J35" s="94"/>
      <x:c r="K35" s="94"/>
      <x:c r="L35" s="94"/>
    </x:row>
    <x:row r="36">
      <x:c r="A36" s="94" t="str">
        <x:v>P11</x:v>
      </x:c>
      <x:c r="B36" s="94"/>
      <x:c r="C36" s="94"/>
      <x:c r="D36" s="94"/>
      <x:c r="E36" s="94" t="str">
        <x:v>编辑 Decorator 条件</x:v>
      </x:c>
      <x:c r="F36" s="94"/>
      <x:c r="G36" s="94"/>
      <x:c r="H36" s="94"/>
      <x:c r="I36" s="94"/>
      <x:c r="J36" s="94"/>
      <x:c r="K36" s="94"/>
      <x:c r="L36" s="94"/>
    </x:row>
    <x:row r="37">
      <x:c r="A37" s="94" t="str">
        <x:v>P12</x:v>
      </x:c>
      <x:c r="B37" s="94"/>
      <x:c r="C37" s="94"/>
      <x:c r="D37" s="94"/>
      <x:c r="E37" s="94" t="str">
        <x:v>定位指定 Action</x:v>
      </x:c>
      <x:c r="F37" s="94"/>
      <x:c r="G37" s="94"/>
      <x:c r="H37" s="94"/>
      <x:c r="I37" s="94"/>
      <x:c r="J37" s="94"/>
      <x:c r="K37" s="94"/>
      <x:c r="L37" s="94"/>
    </x:row>
    <x:row r="38">
      <x:c r="A38" s="94" t="str">
        <x:v>P12</x:v>
      </x:c>
      <x:c r="B38" s="94"/>
      <x:c r="C38" s="94"/>
      <x:c r="D38" s="94"/>
      <x:c r="E38" s="94" t="str">
        <x:v>识别当前活动链</x:v>
      </x:c>
      <x:c r="F38" s="94"/>
      <x:c r="G38" s="94"/>
      <x:c r="H38" s="94"/>
      <x:c r="I38" s="94"/>
      <x:c r="J38" s="94"/>
      <x:c r="K38" s="94"/>
      <x:c r="L38" s="94"/>
    </x:row>
    <x:row r="39">
      <x:c r="A39" s="94" t="str">
        <x:v>P12</x:v>
      </x:c>
      <x:c r="B39" s="94"/>
      <x:c r="C39" s="94"/>
      <x:c r="D39" s="94"/>
      <x:c r="E39" s="94" t="str">
        <x:v>编辑 Decorator 条件</x:v>
      </x:c>
      <x:c r="F39" s="94"/>
      <x:c r="G39" s="94"/>
      <x:c r="H39" s="94"/>
      <x:c r="I39" s="94"/>
      <x:c r="J39" s="94"/>
      <x:c r="K39" s="94"/>
      <x:c r="L39" s="94"/>
    </x:row>
    <x:row r="40">
      <x:c r="A40" s="94" t="str">
        <x:v>P13</x:v>
      </x:c>
      <x:c r="B40" s="94"/>
      <x:c r="C40" s="94"/>
      <x:c r="D40" s="94"/>
      <x:c r="E40" s="94" t="str">
        <x:v>定位指定 Action</x:v>
      </x:c>
      <x:c r="F40" s="94"/>
      <x:c r="G40" s="94"/>
      <x:c r="H40" s="94"/>
      <x:c r="I40" s="94"/>
      <x:c r="J40" s="94"/>
      <x:c r="K40" s="94"/>
      <x:c r="L40" s="94"/>
    </x:row>
    <x:row r="41">
      <x:c r="A41" s="94" t="str">
        <x:v>P13</x:v>
      </x:c>
      <x:c r="B41" s="94"/>
      <x:c r="C41" s="94"/>
      <x:c r="D41" s="94"/>
      <x:c r="E41" s="94" t="str">
        <x:v>识别当前活动链</x:v>
      </x:c>
      <x:c r="F41" s="94"/>
      <x:c r="G41" s="94"/>
      <x:c r="H41" s="94"/>
      <x:c r="I41" s="94"/>
      <x:c r="J41" s="94"/>
      <x:c r="K41" s="94"/>
      <x:c r="L41" s="94"/>
    </x:row>
    <x:row r="42">
      <x:c r="A42" s="94" t="str">
        <x:v>P13</x:v>
      </x:c>
      <x:c r="B42" s="94"/>
      <x:c r="C42" s="94"/>
      <x:c r="D42" s="94"/>
      <x:c r="E42" s="94" t="str">
        <x:v>编辑 Decorator 条件</x:v>
      </x:c>
      <x:c r="F42" s="94"/>
      <x:c r="G42" s="94"/>
      <x:c r="H42" s="94"/>
      <x:c r="I42" s="94"/>
      <x:c r="J42" s="94"/>
      <x:c r="K42" s="94"/>
      <x:c r="L42" s="94"/>
    </x:row>
    <x:row r="43">
      <x:c r="A43" s="94" t="str">
        <x:v>P14</x:v>
      </x:c>
      <x:c r="B43" s="94"/>
      <x:c r="C43" s="94"/>
      <x:c r="D43" s="94"/>
      <x:c r="E43" s="94" t="str">
        <x:v>定位指定 Action</x:v>
      </x:c>
      <x:c r="F43" s="94"/>
      <x:c r="G43" s="94"/>
      <x:c r="H43" s="94"/>
      <x:c r="I43" s="94"/>
      <x:c r="J43" s="94"/>
      <x:c r="K43" s="94"/>
      <x:c r="L43" s="94"/>
    </x:row>
    <x:row r="44">
      <x:c r="A44" s="94" t="str">
        <x:v>P14</x:v>
      </x:c>
      <x:c r="B44" s="94"/>
      <x:c r="C44" s="94"/>
      <x:c r="D44" s="94"/>
      <x:c r="E44" s="94" t="str">
        <x:v>识别当前活动链</x:v>
      </x:c>
      <x:c r="F44" s="94"/>
      <x:c r="G44" s="94"/>
      <x:c r="H44" s="94"/>
      <x:c r="I44" s="94"/>
      <x:c r="J44" s="94"/>
      <x:c r="K44" s="94"/>
      <x:c r="L44" s="94"/>
    </x:row>
    <x:row r="45">
      <x:c r="A45" s="94" t="str">
        <x:v>P14</x:v>
      </x:c>
      <x:c r="B45" s="94"/>
      <x:c r="C45" s="94"/>
      <x:c r="D45" s="94"/>
      <x:c r="E45" s="94" t="str">
        <x:v>编辑 Decorator 条件</x:v>
      </x:c>
      <x:c r="F45" s="94"/>
      <x:c r="G45" s="94"/>
      <x:c r="H45" s="94"/>
      <x:c r="I45" s="94"/>
      <x:c r="J45" s="94"/>
      <x:c r="K45" s="94"/>
      <x:c r="L45" s="94"/>
    </x:row>
    <x:row r="46">
      <x:c r="A46" s="94" t="str">
        <x:v>P15</x:v>
      </x:c>
      <x:c r="B46" s="94"/>
      <x:c r="C46" s="94"/>
      <x:c r="D46" s="94"/>
      <x:c r="E46" s="94" t="str">
        <x:v>定位指定 Action</x:v>
      </x:c>
      <x:c r="F46" s="94"/>
      <x:c r="G46" s="94"/>
      <x:c r="H46" s="94"/>
      <x:c r="I46" s="94"/>
      <x:c r="J46" s="94"/>
      <x:c r="K46" s="94"/>
      <x:c r="L46" s="94"/>
    </x:row>
    <x:row r="47">
      <x:c r="A47" s="94" t="str">
        <x:v>P15</x:v>
      </x:c>
      <x:c r="B47" s="94"/>
      <x:c r="C47" s="94"/>
      <x:c r="D47" s="94"/>
      <x:c r="E47" s="94" t="str">
        <x:v>识别当前活动链</x:v>
      </x:c>
      <x:c r="F47" s="94"/>
      <x:c r="G47" s="94"/>
      <x:c r="H47" s="94"/>
      <x:c r="I47" s="94"/>
      <x:c r="J47" s="94"/>
      <x:c r="K47" s="94"/>
      <x:c r="L47" s="94"/>
    </x:row>
    <x:row r="48">
      <x:c r="A48" s="94" t="str">
        <x:v>P15</x:v>
      </x:c>
      <x:c r="B48" s="94"/>
      <x:c r="C48" s="94"/>
      <x:c r="D48" s="94"/>
      <x:c r="E48" s="94" t="str">
        <x:v>编辑 Decorator 条件</x:v>
      </x:c>
      <x:c r="F48" s="94"/>
      <x:c r="G48" s="94"/>
      <x:c r="H48" s="94"/>
      <x:c r="I48" s="94"/>
      <x:c r="J48" s="94"/>
      <x:c r="K48" s="94"/>
      <x:c r="L48" s="94"/>
    </x:row>
    <x:row r="51">
      <x:c r="A51" s="114" t="str">
        <x:v>完整受控实验请使用 behavior_tree_human_comparison_study.xlsx：含 15 名参与者、6 种平衡方法顺序、3 种任务顺序、270 次试验计划、公式汇总和预先冻结的排除规则。当前没有参与者数据。</x:v>
      </x:c>
      <x:c r="B51" s="115" t="str">
        <x:v>完整受控实验请使用 behavior_tree_human_comparison_study.xlsx：含 15 名参与者、6 种平衡方法顺序、3 种任务顺序、270 次试验计划、公式汇总和预先冻结的排除规则。当前没有参与者数据。</x:v>
      </x:c>
      <x:c r="C51" s="115" t="str">
        <x:v>完整受控实验请使用 behavior_tree_human_comparison_study.xlsx：含 15 名参与者、6 种平衡方法顺序、3 种任务顺序、270 次试验计划、公式汇总和预先冻结的排除规则。当前没有参与者数据。</x:v>
      </x:c>
      <x:c r="D51" s="115" t="str">
        <x:v>完整受控实验请使用 behavior_tree_human_comparison_study.xlsx：含 15 名参与者、6 种平衡方法顺序、3 种任务顺序、270 次试验计划、公式汇总和预先冻结的排除规则。当前没有参与者数据。</x:v>
      </x:c>
      <x:c r="E51" s="115" t="str">
        <x:v>完整受控实验请使用 behavior_tree_human_comparison_study.xlsx：含 15 名参与者、6 种平衡方法顺序、3 种任务顺序、270 次试验计划、公式汇总和预先冻结的排除规则。当前没有参与者数据。</x:v>
      </x:c>
      <x:c r="F51" s="115" t="str">
        <x:v>完整受控实验请使用 behavior_tree_human_comparison_study.xlsx：含 15 名参与者、6 种平衡方法顺序、3 种任务顺序、270 次试验计划、公式汇总和预先冻结的排除规则。当前没有参与者数据。</x:v>
      </x:c>
      <x:c r="G51" s="115" t="str">
        <x:v>完整受控实验请使用 behavior_tree_human_comparison_study.xlsx：含 15 名参与者、6 种平衡方法顺序、3 种任务顺序、270 次试验计划、公式汇总和预先冻结的排除规则。当前没有参与者数据。</x:v>
      </x:c>
      <x:c r="H51" s="115" t="str">
        <x:v>完整受控实验请使用 behavior_tree_human_comparison_study.xlsx：含 15 名参与者、6 种平衡方法顺序、3 种任务顺序、270 次试验计划、公式汇总和预先冻结的排除规则。当前没有参与者数据。</x:v>
      </x:c>
      <x:c r="I51" s="115" t="str">
        <x:v>完整受控实验请使用 behavior_tree_human_comparison_study.xlsx：含 15 名参与者、6 种平衡方法顺序、3 种任务顺序、270 次试验计划、公式汇总和预先冻结的排除规则。当前没有参与者数据。</x:v>
      </x:c>
      <x:c r="J51" s="115" t="str">
        <x:v>完整受控实验请使用 behavior_tree_human_comparison_study.xlsx：含 15 名参与者、6 种平衡方法顺序、3 种任务顺序、270 次试验计划、公式汇总和预先冻结的排除规则。当前没有参与者数据。</x:v>
      </x:c>
      <x:c r="K51" s="115" t="str">
        <x:v>完整受控实验请使用 behavior_tree_human_comparison_study.xlsx：含 15 名参与者、6 种平衡方法顺序、3 种任务顺序、270 次试验计划、公式汇总和预先冻结的排除规则。当前没有参与者数据。</x:v>
      </x:c>
      <x:c r="L51" s="116" t="str">
        <x:v>完整受控实验请使用 behavior_tree_human_comparison_study.xlsx：含 15 名参与者、6 种平衡方法顺序、3 种任务顺序、270 次试验计划、公式汇总和预先冻结的排除规则。当前没有参与者数据。</x:v>
      </x:c>
    </x:row>
    <x:row r="52">
      <x:c r="A52" s="117" t="str">
        <x:v>完整受控实验请使用 behavior_tree_human_comparison_study.xlsx：含 15 名参与者、6 种平衡方法顺序、3 种任务顺序、270 次试验计划、公式汇总和预先冻结的排除规则。当前没有参与者数据。</x:v>
      </x:c>
      <x:c r="B52" s="118" t="str">
        <x:v>完整受控实验请使用 behavior_tree_human_comparison_study.xlsx：含 15 名参与者、6 种平衡方法顺序、3 种任务顺序、270 次试验计划、公式汇总和预先冻结的排除规则。当前没有参与者数据。</x:v>
      </x:c>
      <x:c r="C52" s="118" t="str">
        <x:v>完整受控实验请使用 behavior_tree_human_comparison_study.xlsx：含 15 名参与者、6 种平衡方法顺序、3 种任务顺序、270 次试验计划、公式汇总和预先冻结的排除规则。当前没有参与者数据。</x:v>
      </x:c>
      <x:c r="D52" s="118" t="str">
        <x:v>完整受控实验请使用 behavior_tree_human_comparison_study.xlsx：含 15 名参与者、6 种平衡方法顺序、3 种任务顺序、270 次试验计划、公式汇总和预先冻结的排除规则。当前没有参与者数据。</x:v>
      </x:c>
      <x:c r="E52" s="118" t="str">
        <x:v>完整受控实验请使用 behavior_tree_human_comparison_study.xlsx：含 15 名参与者、6 种平衡方法顺序、3 种任务顺序、270 次试验计划、公式汇总和预先冻结的排除规则。当前没有参与者数据。</x:v>
      </x:c>
      <x:c r="F52" s="118" t="str">
        <x:v>完整受控实验请使用 behavior_tree_human_comparison_study.xlsx：含 15 名参与者、6 种平衡方法顺序、3 种任务顺序、270 次试验计划、公式汇总和预先冻结的排除规则。当前没有参与者数据。</x:v>
      </x:c>
      <x:c r="G52" s="118" t="str">
        <x:v>完整受控实验请使用 behavior_tree_human_comparison_study.xlsx：含 15 名参与者、6 种平衡方法顺序、3 种任务顺序、270 次试验计划、公式汇总和预先冻结的排除规则。当前没有参与者数据。</x:v>
      </x:c>
      <x:c r="H52" s="118" t="str">
        <x:v>完整受控实验请使用 behavior_tree_human_comparison_study.xlsx：含 15 名参与者、6 种平衡方法顺序、3 种任务顺序、270 次试验计划、公式汇总和预先冻结的排除规则。当前没有参与者数据。</x:v>
      </x:c>
      <x:c r="I52" s="118" t="str">
        <x:v>完整受控实验请使用 behavior_tree_human_comparison_study.xlsx：含 15 名参与者、6 种平衡方法顺序、3 种任务顺序、270 次试验计划、公式汇总和预先冻结的排除规则。当前没有参与者数据。</x:v>
      </x:c>
      <x:c r="J52" s="118" t="str">
        <x:v>完整受控实验请使用 behavior_tree_human_comparison_study.xlsx：含 15 名参与者、6 种平衡方法顺序、3 种任务顺序、270 次试验计划、公式汇总和预先冻结的排除规则。当前没有参与者数据。</x:v>
      </x:c>
      <x:c r="K52" s="118" t="str">
        <x:v>完整受控实验请使用 behavior_tree_human_comparison_study.xlsx：含 15 名参与者、6 种平衡方法顺序、3 种任务顺序、270 次试验计划、公式汇总和预先冻结的排除规则。当前没有参与者数据。</x:v>
      </x:c>
      <x:c r="L52" s="119" t="str">
        <x:v>完整受控实验请使用 behavior_tree_human_comparison_study.xlsx：含 15 名参与者、6 种平衡方法顺序、3 种任务顺序、270 次试验计划、公式汇总和预先冻结的排除规则。当前没有参与者数据。</x:v>
      </x:c>
    </x:row>
    <x:row r="53">
      <x:c r="A53" s="120" t="str">
        <x:v>完整受控实验请使用 behavior_tree_human_comparison_study.xlsx：含 15 名参与者、6 种平衡方法顺序、3 种任务顺序、270 次试验计划、公式汇总和预先冻结的排除规则。当前没有参与者数据。</x:v>
      </x:c>
      <x:c r="B53" s="121" t="str">
        <x:v>完整受控实验请使用 behavior_tree_human_comparison_study.xlsx：含 15 名参与者、6 种平衡方法顺序、3 种任务顺序、270 次试验计划、公式汇总和预先冻结的排除规则。当前没有参与者数据。</x:v>
      </x:c>
      <x:c r="C53" s="121" t="str">
        <x:v>完整受控实验请使用 behavior_tree_human_comparison_study.xlsx：含 15 名参与者、6 种平衡方法顺序、3 种任务顺序、270 次试验计划、公式汇总和预先冻结的排除规则。当前没有参与者数据。</x:v>
      </x:c>
      <x:c r="D53" s="121" t="str">
        <x:v>完整受控实验请使用 behavior_tree_human_comparison_study.xlsx：含 15 名参与者、6 种平衡方法顺序、3 种任务顺序、270 次试验计划、公式汇总和预先冻结的排除规则。当前没有参与者数据。</x:v>
      </x:c>
      <x:c r="E53" s="121" t="str">
        <x:v>完整受控实验请使用 behavior_tree_human_comparison_study.xlsx：含 15 名参与者、6 种平衡方法顺序、3 种任务顺序、270 次试验计划、公式汇总和预先冻结的排除规则。当前没有参与者数据。</x:v>
      </x:c>
      <x:c r="F53" s="121" t="str">
        <x:v>完整受控实验请使用 behavior_tree_human_comparison_study.xlsx：含 15 名参与者、6 种平衡方法顺序、3 种任务顺序、270 次试验计划、公式汇总和预先冻结的排除规则。当前没有参与者数据。</x:v>
      </x:c>
      <x:c r="G53" s="121" t="str">
        <x:v>完整受控实验请使用 behavior_tree_human_comparison_study.xlsx：含 15 名参与者、6 种平衡方法顺序、3 种任务顺序、270 次试验计划、公式汇总和预先冻结的排除规则。当前没有参与者数据。</x:v>
      </x:c>
      <x:c r="H53" s="121" t="str">
        <x:v>完整受控实验请使用 behavior_tree_human_comparison_study.xlsx：含 15 名参与者、6 种平衡方法顺序、3 种任务顺序、270 次试验计划、公式汇总和预先冻结的排除规则。当前没有参与者数据。</x:v>
      </x:c>
      <x:c r="I53" s="121" t="str">
        <x:v>完整受控实验请使用 behavior_tree_human_comparison_study.xlsx：含 15 名参与者、6 种平衡方法顺序、3 种任务顺序、270 次试验计划、公式汇总和预先冻结的排除规则。当前没有参与者数据。</x:v>
      </x:c>
      <x:c r="J53" s="121" t="str">
        <x:v>完整受控实验请使用 behavior_tree_human_comparison_study.xlsx：含 15 名参与者、6 种平衡方法顺序、3 种任务顺序、270 次试验计划、公式汇总和预先冻结的排除规则。当前没有参与者数据。</x:v>
      </x:c>
      <x:c r="K53" s="121" t="str">
        <x:v>完整受控实验请使用 behavior_tree_human_comparison_study.xlsx：含 15 名参与者、6 种平衡方法顺序、3 种任务顺序、270 次试验计划、公式汇总和预先冻结的排除规则。当前没有参与者数据。</x:v>
      </x:c>
      <x:c r="L53" s="122" t="str">
        <x:v>完整受控实验请使用 behavior_tree_human_comparison_study.xlsx：含 15 名参与者、6 种平衡方法顺序、3 种任务顺序、270 次试验计划、公式汇总和预先冻结的排除规则。当前没有参与者数据。</x:v>
      </x:c>
    </x:row>
  </x:sheetData>
  <x:mergeCells>
    <x:mergeCell ref="A1:L1"/>
    <x:mergeCell ref="A51:L53"/>
  </x:mergeCells>
  <x:dataValidations count="5">
    <x:dataValidation type="list" sqref="B4:B48">
      <x:formula1>"Novice,Intermediate,Expert"</x:formula1>
    </x:dataValidation>
    <x:dataValidation type="list" sqref="C4:C48">
      <x:formula1>"31,121,364"</x:formula1>
    </x:dataValidation>
    <x:dataValidation type="list" sqref="D4:D48">
      <x:formula1>"Baseline,Compact,Collapse,Fisheye,Search,Minimap"</x:formula1>
    </x:dataValidation>
    <x:dataValidation type="list" sqref="I4:I48">
      <x:formula1>"Yes,No"</x:formula1>
    </x:dataValidation>
    <x:dataValidation type="whole" operator="between" sqref="J4:K48">
      <x:formula1>1</x:formula1>
      <x:formula2>7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6" hidden="0" customWidth="1"/>
    <x:col min="3" max="3" width="48" hidden="0" customWidth="1"/>
    <x:col min="4" max="4" width="4" hidden="0" customWidth="1"/>
    <x:col min="5" max="5" width="20" hidden="0" customWidth="1"/>
    <x:col min="6" max="6" width="14" hidden="0" customWidth="1"/>
  </x:cols>
  <x:sheetData>
    <x:row r="1" ht="34" customHeight="1">
      <x:c r="A1" s="5" t="str">
        <x:v>评价协议、权重与解释边界</x:v>
      </x:c>
      <x:c r="B1" s="5" t="str">
        <x:v>评价协议、权重与解释边界</x:v>
      </x:c>
      <x:c r="C1" s="5" t="str">
        <x:v>评价协议、权重与解释边界</x:v>
      </x:c>
      <x:c r="D1" s="5" t="str">
        <x:v>评价协议、权重与解释边界</x:v>
      </x:c>
      <x:c r="E1" s="5" t="str">
        <x:v>评价协议、权重与解释边界</x:v>
      </x:c>
      <x:c r="F1" s="5" t="str">
        <x:v>评价协议、权重与解释边界</x:v>
      </x:c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3">
      <x:c r="A3" s="11" t="str">
        <x:v>自动指标</x:v>
      </x:c>
      <x:c r="B3" s="11" t="str">
        <x:v>定义</x:v>
      </x:c>
      <x:c r="C3" s="11" t="str">
        <x:v>正确解释</x:v>
      </x:c>
      <x:c r="E3" s="11" t="str">
        <x:v>综合分权重</x:v>
      </x:c>
      <x:c r="F3" s="11" t="str">
        <x:v>权重</x:v>
      </x:c>
    </x:row>
    <x:row r="4">
      <x:c r="A4" s="16" t="str">
        <x:v>可见比例</x:v>
      </x:c>
      <x:c r="B4" s="16" t="str">
        <x:v>可见 GraphNode / 总节点数</x:v>
      </x:c>
      <x:c r="C4" s="16" t="str">
        <x:v>越低越能降低结构复杂度</x:v>
      </x:c>
      <x:c r="E4" s="16" t="str">
        <x:v>结构简化</x:v>
      </x:c>
      <x:c r="F4" s="123" t="n">
        <x:v>0.35</x:v>
      </x:c>
    </x:row>
    <x:row r="5">
      <x:c r="A5" s="16" t="str">
        <x:v>卡片总面积</x:v>
      </x:c>
      <x:c r="B5" s="16" t="str">
        <x:v>所有可见节点最小卡片面积之和</x:v>
      </x:c>
      <x:c r="C5" s="16" t="str">
        <x:v>越低表示几何密度越高</x:v>
      </x:c>
      <x:c r="E5" s="16" t="str">
        <x:v>信息/导航</x:v>
      </x:c>
      <x:c r="F5" s="123" t="n">
        <x:v>0.45</x:v>
      </x:c>
    </x:row>
    <x:row r="6">
      <x:c r="A6" s="16" t="str">
        <x:v>信息字段</x:v>
      </x:c>
      <x:c r="B6" s="16" t="str">
        <x:v>标题、类型、描述、参数、Decorator、运行状态</x:v>
      </x:c>
      <x:c r="C6" s="16" t="str">
        <x:v>按任务权衡，不是越少越好</x:v>
      </x:c>
      <x:c r="E6" s="16" t="str">
        <x:v>性能</x:v>
      </x:c>
      <x:c r="F6" s="123" t="n">
        <x:v>0.2</x:v>
      </x:c>
    </x:row>
    <x:row r="7">
      <x:c r="A7" s="16" t="str">
        <x:v>降噪率</x:v>
      </x:c>
      <x:c r="B7" s="16" t="str">
        <x:v>被弱化的非目标节点 / 总节点数</x:v>
      </x:c>
      <x:c r="C7" s="16" t="str">
        <x:v>搜索或运行调试中越高越好</x:v>
      </x:c>
    </x:row>
    <x:row r="8">
      <x:c r="A8" s="16" t="str">
        <x:v>局部倍率</x:v>
      </x:c>
      <x:c r="B8" s="16" t="str">
        <x:v>鼠标焦点节点内部放大系数</x:v>
      </x:c>
      <x:c r="C8" s="16" t="str">
        <x:v>Fisheye 只反映细节增益</x:v>
      </x:c>
    </x:row>
    <x:row r="9">
      <x:c r="A9" s="16" t="str">
        <x:v>刷新时间</x:v>
      </x:c>
      <x:c r="B9" s="16" t="str">
        <x:v>操作到下一布局帧的本机时间</x:v>
      </x:c>
      <x:c r="C9" s="16" t="str">
        <x:v>越低越好，但不可跨机器直接比较</x:v>
      </x:c>
    </x:row>
    <x:row r="12" ht="24" customHeight="1">
      <x:c r="A12" s="24" t="str">
        <x:v>推荐用户任务</x:v>
      </x:c>
      <x:c r="B12" s="24" t="str">
        <x:v>推荐用户任务</x:v>
      </x:c>
      <x:c r="C12" s="24" t="str">
        <x:v>推荐用户任务</x:v>
      </x:c>
      <x:c r="D12" s="24" t="str">
        <x:v>推荐用户任务</x:v>
      </x:c>
      <x:c r="E12" s="24" t="str">
        <x:v>推荐用户任务</x:v>
      </x:c>
      <x:c r="F12" s="24" t="str">
        <x:v>推荐用户任务</x:v>
      </x:c>
    </x:row>
    <x:row r="13">
      <x:c r="A13" s="126" t="str">
        <x:v>1. 在 364 节点树中找到指定 Action，并报告其父级执行顺序。</x:v>
      </x:c>
      <x:c r="B13" s="126"/>
      <x:c r="C13" s="126"/>
      <x:c r="D13" s="126"/>
      <x:c r="E13" s="126"/>
      <x:c r="F13" s="126"/>
    </x:row>
    <x:row r="14">
      <x:c r="A14" s="126" t="str">
        <x:v>2. 找到并修改指定 Blackboard Decorator 的 value。</x:v>
      </x:c>
      <x:c r="B14" s="126"/>
      <x:c r="C14" s="126"/>
      <x:c r="D14" s="126"/>
      <x:c r="E14" s="126"/>
      <x:c r="F14" s="126"/>
    </x:row>
    <x:row r="15">
      <x:c r="A15" s="126" t="str">
        <x:v>3. 运行游戏后指出当前执行叶节点和完整活动链。</x:v>
      </x:c>
      <x:c r="B15" s="126"/>
      <x:c r="C15" s="126"/>
      <x:c r="D15" s="126"/>
      <x:c r="E15" s="126"/>
      <x:c r="F15" s="126"/>
    </x:row>
    <x:row r="16">
      <x:c r="A16" s="126" t="str">
        <x:v>4. 在不丢失上下文的情况下比较两个远距离分支。</x:v>
      </x:c>
      <x:c r="B16" s="126"/>
      <x:c r="C16" s="126"/>
      <x:c r="D16" s="126"/>
      <x:c r="E16" s="126"/>
      <x:c r="F16" s="126"/>
    </x:row>
    <x:row r="17">
      <x:c r="A17" s="126" t="str">
        <x:v>5. 恢复全树并解释折叠摘要中隐藏的两层节点。</x:v>
      </x:c>
      <x:c r="B17" s="126"/>
      <x:c r="C17" s="126"/>
      <x:c r="D17" s="126"/>
      <x:c r="E17" s="126"/>
      <x:c r="F17" s="126"/>
    </x:row>
    <x:row r="20">
      <x:c r="A20" s="114" t="str">
        <x:v>人工实验尚未实施。当前自动综合分只用于比较程序可测结果，不代表最终可读性、认知负担或学习成本。</x:v>
      </x:c>
      <x:c r="B20" s="115" t="str">
        <x:v>人工实验尚未实施。当前自动综合分只用于比较程序可测结果，不代表最终可读性、认知负担或学习成本。</x:v>
      </x:c>
      <x:c r="C20" s="115" t="str">
        <x:v>人工实验尚未实施。当前自动综合分只用于比较程序可测结果，不代表最终可读性、认知负担或学习成本。</x:v>
      </x:c>
      <x:c r="D20" s="115" t="str">
        <x:v>人工实验尚未实施。当前自动综合分只用于比较程序可测结果，不代表最终可读性、认知负担或学习成本。</x:v>
      </x:c>
      <x:c r="E20" s="115" t="str">
        <x:v>人工实验尚未实施。当前自动综合分只用于比较程序可测结果，不代表最终可读性、认知负担或学习成本。</x:v>
      </x:c>
      <x:c r="F20" s="116" t="str">
        <x:v>人工实验尚未实施。当前自动综合分只用于比较程序可测结果，不代表最终可读性、认知负担或学习成本。</x:v>
      </x:c>
    </x:row>
    <x:row r="21">
      <x:c r="A21" s="117" t="str">
        <x:v>人工实验尚未实施。当前自动综合分只用于比较程序可测结果，不代表最终可读性、认知负担或学习成本。</x:v>
      </x:c>
      <x:c r="B21" s="118" t="str">
        <x:v>人工实验尚未实施。当前自动综合分只用于比较程序可测结果，不代表最终可读性、认知负担或学习成本。</x:v>
      </x:c>
      <x:c r="C21" s="118" t="str">
        <x:v>人工实验尚未实施。当前自动综合分只用于比较程序可测结果，不代表最终可读性、认知负担或学习成本。</x:v>
      </x:c>
      <x:c r="D21" s="118" t="str">
        <x:v>人工实验尚未实施。当前自动综合分只用于比较程序可测结果，不代表最终可读性、认知负担或学习成本。</x:v>
      </x:c>
      <x:c r="E21" s="118" t="str">
        <x:v>人工实验尚未实施。当前自动综合分只用于比较程序可测结果，不代表最终可读性、认知负担或学习成本。</x:v>
      </x:c>
      <x:c r="F21" s="119" t="str">
        <x:v>人工实验尚未实施。当前自动综合分只用于比较程序可测结果，不代表最终可读性、认知负担或学习成本。</x:v>
      </x:c>
    </x:row>
    <x:row r="22">
      <x:c r="A22" s="120" t="str">
        <x:v>人工实验尚未实施。当前自动综合分只用于比较程序可测结果，不代表最终可读性、认知负担或学习成本。</x:v>
      </x:c>
      <x:c r="B22" s="121" t="str">
        <x:v>人工实验尚未实施。当前自动综合分只用于比较程序可测结果，不代表最终可读性、认知负担或学习成本。</x:v>
      </x:c>
      <x:c r="C22" s="121" t="str">
        <x:v>人工实验尚未实施。当前自动综合分只用于比较程序可测结果，不代表最终可读性、认知负担或学习成本。</x:v>
      </x:c>
      <x:c r="D22" s="121" t="str">
        <x:v>人工实验尚未实施。当前自动综合分只用于比较程序可测结果，不代表最终可读性、认知负担或学习成本。</x:v>
      </x:c>
      <x:c r="E22" s="121" t="str">
        <x:v>人工实验尚未实施。当前自动综合分只用于比较程序可测结果，不代表最终可读性、认知负担或学习成本。</x:v>
      </x:c>
      <x:c r="F22" s="122" t="str">
        <x:v>人工实验尚未实施。当前自动综合分只用于比较程序可测结果，不代表最终可读性、认知负担或学习成本。</x:v>
      </x:c>
    </x:row>
  </x:sheetData>
  <x:mergeCells>
    <x:mergeCell ref="A1:F1"/>
    <x:mergeCell ref="A12:F12"/>
    <x:mergeCell ref="A13:F13"/>
    <x:mergeCell ref="A14:F14"/>
    <x:mergeCell ref="A15:F15"/>
    <x:mergeCell ref="A16:F16"/>
    <x:mergeCell ref="A17:F17"/>
    <x:mergeCell ref="A20:F22"/>
  </x:mergeCells>
  <x:pageMargins left="0.7" right="0.7" top="0.75" bottom="0.75" header="0.3" footer="0.3"/>
</x:worksheet>
</file>