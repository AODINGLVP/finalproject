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7aea4be75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80b7e67df7f4808"/>
    <x:sheet xmlns:r="http://schemas.openxmlformats.org/officeDocument/2006/relationships" name="Task Validation" sheetId="2" r:id="R6c776de019b14fee"/>
    <x:sheet xmlns:r="http://schemas.openxmlformats.org/officeDocument/2006/relationships" name="Runtime Raw Data" sheetId="3" r:id="R249beabe83e04f1a"/>
    <x:sheet xmlns:r="http://schemas.openxmlformats.org/officeDocument/2006/relationships" name="Runtime Summary" sheetId="4" r:id="R0509d41f4ddb4475"/>
    <x:sheet xmlns:r="http://schemas.openxmlformats.org/officeDocument/2006/relationships" name="Display Switches" sheetId="5" r:id="R3c026786ad8b4d04"/>
    <x:sheet xmlns:r="http://schemas.openxmlformats.org/officeDocument/2006/relationships" name="Visual Evidence" sheetId="6" r:id="Rc9bd6e8a0e844c9e"/>
    <x:sheet xmlns:r="http://schemas.openxmlformats.org/officeDocument/2006/relationships" name="Reproduce" sheetId="7" r:id="Rf8fd00523931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.000"/>
    <x:numFmt numFmtId="203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i/>
      <x:sz val="9"/>
      <x:color rgb="FF52606D"/>
      <x:name val="Carlito"/>
    </x:font>
    <x:font>
      <x:b/>
      <x:sz val="9"/>
      <x:color rgb="FF18864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75B6"/>
      </x:patternFill>
    </x:fill>
    <x:fill>
      <x:patternFill patternType="solid">
        <x:fgColor rgb="FF0F766E"/>
      </x:patternFill>
    </x:fill>
    <x:fill>
      <x:patternFill patternType="solid">
        <x:fgColor rgb="FFFFF7DC"/>
      </x:patternFill>
    </x:fill>
    <x:fill>
      <x:patternFill patternType="solid">
        <x:fgColor rgb="FFDDF3E5"/>
      </x:patternFill>
    </x:fill>
  </x:fills>
  <x:borders count="10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1" xfId="0" applyNumberFormat="1" applyFont="1" applyFill="1" applyBorder="1"/>
    <x:xf numFmtId="0" fontId="3" fillId="0" borderId="9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8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202" fontId="3" fillId="0" borderId="8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2" fontId="3" fillId="0" borderId="9" xfId="0" applyNumberFormat="1" applyFont="1" applyFill="1" applyBorder="1" applyAlignment="1">
      <x:alignment vertical="center" wrapText="1"/>
    </x:xf>
    <x:xf numFmtId="203" fontId="3" fillId="0" borderId="8" xfId="0" applyNumberFormat="1" applyFont="1" applyFill="1" applyBorder="1" applyAlignment="1">
      <x:alignment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203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8348c343e4e4a" /><Relationship Type="http://schemas.openxmlformats.org/officeDocument/2006/relationships/theme" Target="/xl/theme/theme1.xml" Id="R539925e4c6224b48" /><Relationship Type="http://schemas.microsoft.com/office/2022/11/relationships/FeaturePropertyBag" Target="/xl/featurePropertyBag/featurePropertyBag.xml" Id="R8d23df54258c4431" /><Relationship Type="http://schemas.openxmlformats.org/officeDocument/2006/relationships/sharedStrings" Target="/xl/sharedStrings.xml" Id="R05ec8a098d844f50" /><Relationship Type="http://schemas.openxmlformats.org/officeDocument/2006/relationships/worksheet" Target="/xl/worksheets/sheet1.xml" Id="Rc80b7e67df7f4808" /><Relationship Type="http://schemas.openxmlformats.org/officeDocument/2006/relationships/worksheet" Target="/xl/worksheets/sheet2.xml" Id="R6c776de019b14fee" /><Relationship Type="http://schemas.openxmlformats.org/officeDocument/2006/relationships/worksheet" Target="/xl/worksheets/sheet3.xml" Id="R249beabe83e04f1a" /><Relationship Type="http://schemas.openxmlformats.org/officeDocument/2006/relationships/worksheet" Target="/xl/worksheets/sheet4.xml" Id="R0509d41f4ddb4475" /><Relationship Type="http://schemas.openxmlformats.org/officeDocument/2006/relationships/worksheet" Target="/xl/worksheets/sheet5.xml" Id="R3c026786ad8b4d04" /><Relationship Type="http://schemas.openxmlformats.org/officeDocument/2006/relationships/worksheet" Target="/xl/worksheets/sheet6.xml" Id="Rc9bd6e8a0e844c9e" /><Relationship Type="http://schemas.openxmlformats.org/officeDocument/2006/relationships/worksheet" Target="/xl/worksheets/sheet7.xml" Id="Rf8fd005239314f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Behavior Tree Project: Reproducible Evidence</x:v>
      </x:c>
      <x:c r="B1" s="3"/>
      <x:c r="C1" s="3"/>
      <x:c r="D1" s="3"/>
      <x:c r="E1" s="3"/>
      <x:c r="F1" s="3"/>
      <x:c r="G1" s="3"/>
      <x:c r="H1" s="3"/>
    </x:row>
    <x:row r="3">
      <x:c r="A3" s="9" t="str">
        <x:v>Verified area</x:v>
      </x:c>
      <x:c r="B3" s="9" t="str">
        <x:v>Result</x:v>
      </x:c>
      <x:c r="D3" s="9" t="str">
        <x:v>Environment</x:v>
      </x:c>
      <x:c r="E3" s="9" t="str">
        <x:v>Value</x:v>
      </x:c>
    </x:row>
    <x:row r="4">
      <x:c r="A4" s="23" t="str">
        <x:v>Runtime/resource regression</x:v>
      </x:c>
      <x:c r="B4" s="24" t="str">
        <x:v>153 / 153</x:v>
      </x:c>
      <x:c r="D4" s="23" t="str">
        <x:v>Date</x:v>
      </x:c>
      <x:c r="E4" s="24" t="str">
        <x:v>2026-08-09</x:v>
      </x:c>
    </x:row>
    <x:row r="5">
      <x:c r="A5" s="25" t="str">
        <x:v>Editor GUI regression</x:v>
      </x:c>
      <x:c r="B5" s="26" t="str">
        <x:v>185 / 185</x:v>
      </x:c>
      <x:c r="D5" s="25" t="str">
        <x:v>Godot</x:v>
      </x:c>
      <x:c r="E5" s="26" t="str">
        <x:v>4.6 stable</x:v>
      </x:c>
    </x:row>
    <x:row r="6">
      <x:c r="A6" s="25" t="str">
        <x:v>Core GPU visual regression</x:v>
      </x:c>
      <x:c r="B6" s="26" t="str">
        <x:v>70 / 70</x:v>
      </x:c>
      <x:c r="D6" s="25" t="str">
        <x:v>OS</x:v>
      </x:c>
      <x:c r="E6" s="26" t="str">
        <x:v>Windows</x:v>
      </x:c>
    </x:row>
    <x:row r="7">
      <x:c r="A7" s="25" t="str">
        <x:v>Runtime profile assertions</x:v>
      </x:c>
      <x:c r="B7" s="26" t="str">
        <x:v>511 / 511</x:v>
      </x:c>
      <x:c r="D7" s="25" t="str">
        <x:v>GPU visual</x:v>
      </x:c>
      <x:c r="E7" s="26" t="str">
        <x:v>NVIDIA OpenGL 3.3 compatibility</x:v>
      </x:c>
    </x:row>
    <x:row r="8">
      <x:c r="A8" s="25" t="str">
        <x:v>Runtime raw observations</x:v>
      </x:c>
      <x:c r="B8" s="26" t="n">
        <x:v>126</x:v>
      </x:c>
      <x:c r="D8" s="25" t="str">
        <x:v>Viewport</x:v>
      </x:c>
      <x:c r="E8" s="26" t="str">
        <x:v>1600 x 900</x:v>
      </x:c>
    </x:row>
    <x:row r="9">
      <x:c r="A9" s="25" t="str">
        <x:v>Display switches</x:v>
      </x:c>
      <x:c r="B9" s="26" t="n">
        <x:v>19</x:v>
      </x:c>
      <x:c r="D9" s="27" t="str">
        <x:v>Runtime statistic</x:v>
      </x:c>
      <x:c r="E9" s="28" t="str">
        <x:v>Median of 7 samples</x:v>
      </x:c>
    </x:row>
    <x:row r="10">
      <x:c r="A10" s="27" t="str">
        <x:v>Human participant data</x:v>
      </x:c>
      <x:c r="B10" s="28" t="str">
        <x:v>Not collected</x:v>
      </x:c>
    </x:row>
    <x:row r="12">
      <x:c r="A12" s="30" t="str">
        <x:v>Key measured outcomes</x:v>
      </x:c>
      <x:c r="B12" s="30"/>
      <x:c r="C12" s="30"/>
      <x:c r="D12" s="30"/>
      <x:c r="E12" s="30"/>
      <x:c r="F12" s="30"/>
      <x:c r="G12" s="30"/>
      <x:c r="H12" s="30"/>
    </x:row>
    <x:row r="14">
      <x:c r="A14" s="9" t="str">
        <x:v>Tree nodes</x:v>
      </x:c>
      <x:c r="B14" s="9" t="str">
        <x:v>NPCs</x:v>
      </x:c>
      <x:c r="C14" s="9" t="str">
        <x:v>Median cache gain</x:v>
      </x:c>
      <x:c r="D14" s="9" t="str">
        <x:v>Interpretation</x:v>
      </x:c>
    </x:row>
    <x:row r="15">
      <x:c r="A15" s="23" t="n">
        <x:v>31</x:v>
      </x:c>
      <x:c r="B15" s="37" t="str">
        <x:v>1 / 10 / 50</x:v>
      </x:c>
      <x:c r="C15" s="37" t="str">
        <x:v>15.98% - 26.46%</x:v>
      </x:c>
      <x:c r="D15" s="24" t="str">
        <x:v>Safe exact validation; positive gain</x:v>
      </x:c>
    </x:row>
    <x:row r="16">
      <x:c r="A16" s="25" t="n">
        <x:v>121</x:v>
      </x:c>
      <x:c r="B16" s="38" t="str">
        <x:v>1 / 10 / 50</x:v>
      </x:c>
      <x:c r="C16" s="38" t="str">
        <x:v>52.61% - 56.02%</x:v>
      </x:c>
      <x:c r="D16" s="26" t="str">
        <x:v>Stable medium-tree benefit</x:v>
      </x:c>
    </x:row>
    <x:row r="17">
      <x:c r="A17" s="27" t="n">
        <x:v>364</x:v>
      </x:c>
      <x:c r="B17" s="39" t="str">
        <x:v>1 / 10 / 50</x:v>
      </x:c>
      <x:c r="C17" s="39" t="str">
        <x:v>76.65% - 78.00%</x:v>
      </x:c>
      <x:c r="D17" s="28" t="str">
        <x:v>Large-tree lookup bottleneck reduced</x:v>
      </x:c>
    </x:row>
    <x:row r="20">
      <x:c r="A20" s="43" t="str">
        <x:v>Scope boundary: automated geometry, rendering and timing evidence does not prove human readability. The prepared 270-trial workbook remains empty until 8-15 real participants complete the study. Exact per-Tick topology validation trades some small-tree speed for safe same-size mutation invalidation. Timings describe this machine and workload, not a universal guarantee.</x:v>
      </x:c>
      <x:c r="B20" s="43"/>
      <x:c r="C20" s="43"/>
      <x:c r="D20" s="43"/>
      <x:c r="E20" s="43"/>
      <x:c r="F20" s="43"/>
      <x:c r="G20" s="43"/>
      <x:c r="H20" s="43"/>
    </x:row>
    <x:row r="2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43"/>
      <x:c r="B22" s="43"/>
      <x:c r="C22" s="43"/>
      <x:c r="D22" s="43"/>
      <x:c r="E22" s="43"/>
      <x:c r="F22" s="43"/>
      <x:c r="G22" s="43"/>
      <x:c r="H22" s="43"/>
    </x:row>
    <x:row r="23">
      <x:c r="A23" s="43"/>
      <x:c r="B23" s="43"/>
      <x:c r="C23" s="43"/>
      <x:c r="D23" s="43"/>
      <x:c r="E23" s="43"/>
      <x:c r="F23" s="43"/>
      <x:c r="G23" s="43"/>
      <x:c r="H23" s="43"/>
    </x:row>
  </x:sheetData>
  <x:mergeCells>
    <x:mergeCell ref="A1:H1"/>
    <x:mergeCell ref="A12:H12"/>
    <x:mergeCell ref="A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24" hidden="0" customWidth="1"/>
    <x:col min="4" max="4" width="22" hidden="0" customWidth="1"/>
    <x:col min="5" max="5" width="25" hidden="0" customWidth="1"/>
    <x:col min="6" max="6" width="42" hidden="0" customWidth="1"/>
  </x:cols>
  <x:sheetData>
    <x:row r="1" ht="30" customHeight="1">
      <x:c r="A1" s="3" t="str">
        <x:v>Independent Task Completion Gates</x:v>
      </x:c>
      <x:c r="B1" s="3"/>
      <x:c r="C1" s="3"/>
      <x:c r="D1" s="3"/>
      <x:c r="E1" s="3"/>
      <x:c r="F1" s="3"/>
    </x:row>
    <x:row r="3">
      <x:c r="A3" s="9" t="str">
        <x:v>Task</x:v>
      </x:c>
      <x:c r="B3" s="9" t="str">
        <x:v>Implemented</x:v>
      </x:c>
      <x:c r="C3" s="9" t="str">
        <x:v>Focused test</x:v>
      </x:c>
      <x:c r="D3" s="9" t="str">
        <x:v>Regression</x:v>
      </x:c>
      <x:c r="E3" s="9" t="str">
        <x:v>GPU visual</x:v>
      </x:c>
      <x:c r="F3" s="9" t="str">
        <x:v>Evidence</x:v>
      </x:c>
    </x:row>
    <x:row r="4">
      <x:c r="A4" s="23" t="str">
        <x:v>Blackboard Schema Editor</x:v>
      </x:c>
      <x:c r="B4" s="50" t="str">
        <x:v>Yes</x:v>
      </x:c>
      <x:c r="C4" s="37" t="str">
        <x:v>19 new GUI assertions</x:v>
      </x:c>
      <x:c r="D4" s="37" t="str">
        <x:v>153 runtime + prior GUI</x:v>
      </x:c>
      <x:c r="E4" s="37" t="str">
        <x:v>Schema panel screenshot</x:v>
      </x:c>
      <x:c r="F4" s="24" t="str">
        <x:v>Typed CRUD, validation, history, persistence</x:v>
      </x:c>
    </x:row>
    <x:row r="5">
      <x:c r="A5" s="25" t="str">
        <x:v>Shape/Icon Type Encoding</x:v>
      </x:c>
      <x:c r="B5" s="51" t="str">
        <x:v>Yes</x:v>
      </x:c>
      <x:c r="C5" s="38" t="str">
        <x:v>3 new GUI assertions</x:v>
      </x:c>
      <x:c r="D5" s="38" t="str">
        <x:v>171 GUI</x:v>
      </x:c>
      <x:c r="E5" s="38" t="str">
        <x:v>Color + grayscale</x:v>
      </x:c>
      <x:c r="F5" s="26" t="str">
        <x:v>Low-detail identity and safe disable</x:v>
      </x:c>
    </x:row>
    <x:row r="6">
      <x:c r="A6" s="25" t="str">
        <x:v>Accessibility</x:v>
      </x:c>
      <x:c r="B6" s="51" t="str">
        <x:v>Yes</x:v>
      </x:c>
      <x:c r="C6" s="38" t="str">
        <x:v>5 new GUI assertions</x:v>
      </x:c>
      <x:c r="D6" s="38" t="str">
        <x:v>176 GUI</x:v>
      </x:c>
      <x:c r="E6" s="38" t="str">
        <x:v>215 blue / 283 orange sampled pixels</x:v>
      </x:c>
      <x:c r="F6" s="26" t="str">
        <x:v>Palette, Ctrl+F, F3, tooltips</x:v>
      </x:c>
    </x:row>
    <x:row r="7">
      <x:c r="A7" s="25" t="str">
        <x:v>Single Connection Rendering</x:v>
      </x:c>
      <x:c r="B7" s="51" t="str">
        <x:v>Yes</x:v>
      </x:c>
      <x:c r="C7" s="38" t="str">
        <x:v>6 new GUI assertions</x:v>
      </x:c>
      <x:c r="D7" s="38" t="str">
        <x:v>182 GUI</x:v>
      </x:c>
      <x:c r="E7" s="38" t="str">
        <x:v>Single-line screenshot</x:v>
      </x:c>
      <x:c r="F7" s="26" t="str">
        <x:v>Hit test, disconnect, undo/redo, fallback</x:v>
      </x:c>
    </x:row>
    <x:row r="8">
      <x:c r="A8" s="25" t="str">
        <x:v>Runtime Cache Experiment</x:v>
      </x:c>
      <x:c r="B8" s="51" t="str">
        <x:v>Yes</x:v>
      </x:c>
      <x:c r="C8" s="38" t="str">
        <x:v>511 assertions</x:v>
      </x:c>
      <x:c r="D8" s="38" t="str">
        <x:v>153 semantic regression</x:v>
      </x:c>
      <x:c r="E8" s="38" t="str">
        <x:v>N/A</x:v>
      </x:c>
      <x:c r="F8" s="26" t="str">
        <x:v>Exact signature and same-size invalidation</x:v>
      </x:c>
    </x:row>
    <x:row r="9">
      <x:c r="A9" s="25" t="str">
        <x:v>Reproducible Evidence</x:v>
      </x:c>
      <x:c r="B9" s="51" t="str">
        <x:v>Yes</x:v>
      </x:c>
      <x:c r="C9" s="38" t="str">
        <x:v>Formula/error audit</x:v>
      </x:c>
      <x:c r="D9" s="38" t="str">
        <x:v>447 core regression</x:v>
      </x:c>
      <x:c r="E9" s="38" t="str">
        <x:v>21 indexed screenshots</x:v>
      </x:c>
      <x:c r="F9" s="26" t="str">
        <x:v>Workbook, commands, logs and raw CSV</x:v>
      </x:c>
    </x:row>
    <x:row r="10">
      <x:c r="A10" s="25" t="str">
        <x:v>Blackboard Reference Assistance</x:v>
      </x:c>
      <x:c r="B10" s="51" t="str">
        <x:v>Yes</x:v>
      </x:c>
      <x:c r="C10" s="38" t="str">
        <x:v>6 runtime + 3 GUI</x:v>
      </x:c>
      <x:c r="D10" s="38" t="str">
        <x:v>153 runtime / 185 GUI</x:v>
      </x:c>
      <x:c r="E10" s="38" t="str">
        <x:v>Schema key picker</x:v>
      </x:c>
      <x:c r="F10" s="26" t="str">
        <x:v>Typed picker, strict references, unused keys</x:v>
      </x:c>
    </x:row>
    <x:row r="11">
      <x:c r="A11" s="25" t="str">
        <x:v>Safe Cache Invalidation</x:v>
      </x:c>
      <x:c r="B11" s="51" t="str">
        <x:v>Yes</x:v>
      </x:c>
      <x:c r="C11" s="38" t="str">
        <x:v>4 same-size cases</x:v>
      </x:c>
      <x:c r="D11" s="38" t="str">
        <x:v>511 profile / 153 semantics</x:v>
      </x:c>
      <x:c r="E11" s="38" t="str">
        <x:v>N/A</x:v>
      </x:c>
      <x:c r="F11" s="26" t="str">
        <x:v>Reorder, parent, Decorator owner, instance</x:v>
      </x:c>
    </x:row>
    <x:row r="12">
      <x:c r="A12" s="27" t="str">
        <x:v>Distributable Package</x:v>
      </x:c>
      <x:c r="B12" s="52" t="str">
        <x:v>Yes</x:v>
      </x:c>
      <x:c r="C12" s="39" t="str">
        <x:v>53 package checks</x:v>
      </x:c>
      <x:c r="D12" s="39" t="str">
        <x:v>3 project startups</x:v>
      </x:c>
      <x:c r="E12" s="39" t="str">
        <x:v>N/A</x:v>
      </x:c>
      <x:c r="F12" s="28" t="str">
        <x:v>ZIP boundary, MIT, hashes, clean install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3" t="str">
        <x:v>Runtime Profile Raw Observations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Tree nodes</x:v>
      </x:c>
      <x:c r="B3" s="9" t="str">
        <x:v>NPC count</x:v>
      </x:c>
      <x:c r="C3" s="9" t="str">
        <x:v>Cache enabled</x:v>
      </x:c>
      <x:c r="D3" s="9" t="str">
        <x:v>Sample</x:v>
      </x:c>
      <x:c r="E3" s="9" t="str">
        <x:v>Ticks/runner</x:v>
      </x:c>
      <x:c r="F3" s="9" t="str">
        <x:v>Total ticks</x:v>
      </x:c>
      <x:c r="G3" s="9" t="str">
        <x:v>Elapsed ms</x:v>
      </x:c>
      <x:c r="H3" s="9" t="str">
        <x:v>Mean tick us</x:v>
      </x:c>
      <x:c r="I3" s="9" t="str">
        <x:v>Status</x:v>
      </x:c>
    </x:row>
    <x:row r="4">
      <x:c r="A4" s="64" t="n">
        <x:v>31</x:v>
      </x:c>
      <x:c r="B4" s="65" t="n">
        <x:v>1</x:v>
      </x:c>
      <x:c r="C4" s="66" t="b">
        <x:v>0</x:v>
      </x:c>
      <x:c r="D4" s="65" t="n">
        <x:v>1</x:v>
      </x:c>
      <x:c r="E4" s="65" t="n">
        <x:v>967</x:v>
      </x:c>
      <x:c r="F4" s="65" t="n">
        <x:v>967</x:v>
      </x:c>
      <x:c r="G4" s="73" t="n">
        <x:v>278.3</x:v>
      </x:c>
      <x:c r="H4" s="73" t="n">
        <x:v>287.7973</x:v>
      </x:c>
      <x:c r="I4" s="24" t="n">
        <x:v>1</x:v>
      </x:c>
    </x:row>
    <x:row r="5">
      <x:c r="A5" s="67" t="n">
        <x:v>31</x:v>
      </x:c>
      <x:c r="B5" s="68" t="n">
        <x:v>1</x:v>
      </x:c>
      <x:c r="C5" s="69" t="b">
        <x:v>0</x:v>
      </x:c>
      <x:c r="D5" s="68" t="n">
        <x:v>2</x:v>
      </x:c>
      <x:c r="E5" s="68" t="n">
        <x:v>967</x:v>
      </x:c>
      <x:c r="F5" s="68" t="n">
        <x:v>967</x:v>
      </x:c>
      <x:c r="G5" s="74" t="n">
        <x:v>287.858</x:v>
      </x:c>
      <x:c r="H5" s="74" t="n">
        <x:v>297.6815</x:v>
      </x:c>
      <x:c r="I5" s="26" t="n">
        <x:v>1</x:v>
      </x:c>
    </x:row>
    <x:row r="6">
      <x:c r="A6" s="67" t="n">
        <x:v>31</x:v>
      </x:c>
      <x:c r="B6" s="68" t="n">
        <x:v>1</x:v>
      </x:c>
      <x:c r="C6" s="69" t="b">
        <x:v>0</x:v>
      </x:c>
      <x:c r="D6" s="68" t="n">
        <x:v>3</x:v>
      </x:c>
      <x:c r="E6" s="68" t="n">
        <x:v>967</x:v>
      </x:c>
      <x:c r="F6" s="68" t="n">
        <x:v>967</x:v>
      </x:c>
      <x:c r="G6" s="74" t="n">
        <x:v>277.947</x:v>
      </x:c>
      <x:c r="H6" s="74" t="n">
        <x:v>287.4323</x:v>
      </x:c>
      <x:c r="I6" s="26" t="n">
        <x:v>1</x:v>
      </x:c>
    </x:row>
    <x:row r="7">
      <x:c r="A7" s="67" t="n">
        <x:v>31</x:v>
      </x:c>
      <x:c r="B7" s="68" t="n">
        <x:v>1</x:v>
      </x:c>
      <x:c r="C7" s="69" t="b">
        <x:v>0</x:v>
      </x:c>
      <x:c r="D7" s="68" t="n">
        <x:v>4</x:v>
      </x:c>
      <x:c r="E7" s="68" t="n">
        <x:v>967</x:v>
      </x:c>
      <x:c r="F7" s="68" t="n">
        <x:v>967</x:v>
      </x:c>
      <x:c r="G7" s="74" t="n">
        <x:v>308.405</x:v>
      </x:c>
      <x:c r="H7" s="74" t="n">
        <x:v>318.9297</x:v>
      </x:c>
      <x:c r="I7" s="26" t="n">
        <x:v>1</x:v>
      </x:c>
    </x:row>
    <x:row r="8">
      <x:c r="A8" s="67" t="n">
        <x:v>31</x:v>
      </x:c>
      <x:c r="B8" s="68" t="n">
        <x:v>1</x:v>
      </x:c>
      <x:c r="C8" s="69" t="b">
        <x:v>0</x:v>
      </x:c>
      <x:c r="D8" s="68" t="n">
        <x:v>5</x:v>
      </x:c>
      <x:c r="E8" s="68" t="n">
        <x:v>967</x:v>
      </x:c>
      <x:c r="F8" s="68" t="n">
        <x:v>967</x:v>
      </x:c>
      <x:c r="G8" s="74" t="n">
        <x:v>368.577</x:v>
      </x:c>
      <x:c r="H8" s="74" t="n">
        <x:v>381.1551</x:v>
      </x:c>
      <x:c r="I8" s="26" t="n">
        <x:v>1</x:v>
      </x:c>
    </x:row>
    <x:row r="9">
      <x:c r="A9" s="67" t="n">
        <x:v>31</x:v>
      </x:c>
      <x:c r="B9" s="68" t="n">
        <x:v>1</x:v>
      </x:c>
      <x:c r="C9" s="69" t="b">
        <x:v>0</x:v>
      </x:c>
      <x:c r="D9" s="68" t="n">
        <x:v>6</x:v>
      </x:c>
      <x:c r="E9" s="68" t="n">
        <x:v>967</x:v>
      </x:c>
      <x:c r="F9" s="68" t="n">
        <x:v>967</x:v>
      </x:c>
      <x:c r="G9" s="74" t="n">
        <x:v>306.406</x:v>
      </x:c>
      <x:c r="H9" s="74" t="n">
        <x:v>316.8625</x:v>
      </x:c>
      <x:c r="I9" s="26" t="n">
        <x:v>1</x:v>
      </x:c>
    </x:row>
    <x:row r="10">
      <x:c r="A10" s="67" t="n">
        <x:v>31</x:v>
      </x:c>
      <x:c r="B10" s="68" t="n">
        <x:v>1</x:v>
      </x:c>
      <x:c r="C10" s="69" t="b">
        <x:v>0</x:v>
      </x:c>
      <x:c r="D10" s="68" t="n">
        <x:v>7</x:v>
      </x:c>
      <x:c r="E10" s="68" t="n">
        <x:v>967</x:v>
      </x:c>
      <x:c r="F10" s="68" t="n">
        <x:v>967</x:v>
      </x:c>
      <x:c r="G10" s="74" t="n">
        <x:v>304.444</x:v>
      </x:c>
      <x:c r="H10" s="74" t="n">
        <x:v>314.8335</x:v>
      </x:c>
      <x:c r="I10" s="26" t="n">
        <x:v>1</x:v>
      </x:c>
    </x:row>
    <x:row r="11">
      <x:c r="A11" s="67" t="n">
        <x:v>31</x:v>
      </x:c>
      <x:c r="B11" s="68" t="n">
        <x:v>1</x:v>
      </x:c>
      <x:c r="C11" s="69" t="b">
        <x:v>1</x:v>
      </x:c>
      <x:c r="D11" s="68" t="n">
        <x:v>1</x:v>
      </x:c>
      <x:c r="E11" s="68" t="n">
        <x:v>967</x:v>
      </x:c>
      <x:c r="F11" s="68" t="n">
        <x:v>967</x:v>
      </x:c>
      <x:c r="G11" s="74" t="n">
        <x:v>242.026</x:v>
      </x:c>
      <x:c r="H11" s="74" t="n">
        <x:v>250.2854</x:v>
      </x:c>
      <x:c r="I11" s="26" t="n">
        <x:v>1</x:v>
      </x:c>
    </x:row>
    <x:row r="12">
      <x:c r="A12" s="67" t="n">
        <x:v>31</x:v>
      </x:c>
      <x:c r="B12" s="68" t="n">
        <x:v>1</x:v>
      </x:c>
      <x:c r="C12" s="69" t="b">
        <x:v>1</x:v>
      </x:c>
      <x:c r="D12" s="68" t="n">
        <x:v>2</x:v>
      </x:c>
      <x:c r="E12" s="68" t="n">
        <x:v>967</x:v>
      </x:c>
      <x:c r="F12" s="68" t="n">
        <x:v>967</x:v>
      </x:c>
      <x:c r="G12" s="74" t="n">
        <x:v>247.281</x:v>
      </x:c>
      <x:c r="H12" s="74" t="n">
        <x:v>255.7198</x:v>
      </x:c>
      <x:c r="I12" s="26" t="n">
        <x:v>1</x:v>
      </x:c>
    </x:row>
    <x:row r="13">
      <x:c r="A13" s="67" t="n">
        <x:v>31</x:v>
      </x:c>
      <x:c r="B13" s="68" t="n">
        <x:v>1</x:v>
      </x:c>
      <x:c r="C13" s="69" t="b">
        <x:v>1</x:v>
      </x:c>
      <x:c r="D13" s="68" t="n">
        <x:v>3</x:v>
      </x:c>
      <x:c r="E13" s="68" t="n">
        <x:v>967</x:v>
      </x:c>
      <x:c r="F13" s="68" t="n">
        <x:v>967</x:v>
      </x:c>
      <x:c r="G13" s="74" t="n">
        <x:v>212.677</x:v>
      </x:c>
      <x:c r="H13" s="74" t="n">
        <x:v>219.9349</x:v>
      </x:c>
      <x:c r="I13" s="26" t="n">
        <x:v>1</x:v>
      </x:c>
    </x:row>
    <x:row r="14">
      <x:c r="A14" s="67" t="n">
        <x:v>31</x:v>
      </x:c>
      <x:c r="B14" s="68" t="n">
        <x:v>1</x:v>
      </x:c>
      <x:c r="C14" s="69" t="b">
        <x:v>1</x:v>
      </x:c>
      <x:c r="D14" s="68" t="n">
        <x:v>4</x:v>
      </x:c>
      <x:c r="E14" s="68" t="n">
        <x:v>967</x:v>
      </x:c>
      <x:c r="F14" s="68" t="n">
        <x:v>967</x:v>
      </x:c>
      <x:c r="G14" s="74" t="n">
        <x:v>270.145</x:v>
      </x:c>
      <x:c r="H14" s="74" t="n">
        <x:v>279.364</x:v>
      </x:c>
      <x:c r="I14" s="26" t="n">
        <x:v>1</x:v>
      </x:c>
    </x:row>
    <x:row r="15">
      <x:c r="A15" s="67" t="n">
        <x:v>31</x:v>
      </x:c>
      <x:c r="B15" s="68" t="n">
        <x:v>1</x:v>
      </x:c>
      <x:c r="C15" s="69" t="b">
        <x:v>1</x:v>
      </x:c>
      <x:c r="D15" s="68" t="n">
        <x:v>5</x:v>
      </x:c>
      <x:c r="E15" s="68" t="n">
        <x:v>967</x:v>
      </x:c>
      <x:c r="F15" s="68" t="n">
        <x:v>967</x:v>
      </x:c>
      <x:c r="G15" s="74" t="n">
        <x:v>255.793</x:v>
      </x:c>
      <x:c r="H15" s="74" t="n">
        <x:v>264.5222</x:v>
      </x:c>
      <x:c r="I15" s="26" t="n">
        <x:v>1</x:v>
      </x:c>
    </x:row>
    <x:row r="16">
      <x:c r="A16" s="67" t="n">
        <x:v>31</x:v>
      </x:c>
      <x:c r="B16" s="68" t="n">
        <x:v>1</x:v>
      </x:c>
      <x:c r="C16" s="69" t="b">
        <x:v>1</x:v>
      </x:c>
      <x:c r="D16" s="68" t="n">
        <x:v>6</x:v>
      </x:c>
      <x:c r="E16" s="68" t="n">
        <x:v>967</x:v>
      </x:c>
      <x:c r="F16" s="68" t="n">
        <x:v>967</x:v>
      </x:c>
      <x:c r="G16" s="74" t="n">
        <x:v>293.19</x:v>
      </x:c>
      <x:c r="H16" s="74" t="n">
        <x:v>303.1954</x:v>
      </x:c>
      <x:c r="I16" s="26" t="n">
        <x:v>1</x:v>
      </x:c>
    </x:row>
    <x:row r="17">
      <x:c r="A17" s="67" t="n">
        <x:v>31</x:v>
      </x:c>
      <x:c r="B17" s="68" t="n">
        <x:v>1</x:v>
      </x:c>
      <x:c r="C17" s="69" t="b">
        <x:v>1</x:v>
      </x:c>
      <x:c r="D17" s="68" t="n">
        <x:v>7</x:v>
      </x:c>
      <x:c r="E17" s="68" t="n">
        <x:v>967</x:v>
      </x:c>
      <x:c r="F17" s="68" t="n">
        <x:v>967</x:v>
      </x:c>
      <x:c r="G17" s="74" t="n">
        <x:v>265.135</x:v>
      </x:c>
      <x:c r="H17" s="74" t="n">
        <x:v>274.183</x:v>
      </x:c>
      <x:c r="I17" s="26" t="n">
        <x:v>1</x:v>
      </x:c>
    </x:row>
    <x:row r="18">
      <x:c r="A18" s="67" t="n">
        <x:v>31</x:v>
      </x:c>
      <x:c r="B18" s="68" t="n">
        <x:v>10</x:v>
      </x:c>
      <x:c r="C18" s="69" t="b">
        <x:v>0</x:v>
      </x:c>
      <x:c r="D18" s="68" t="n">
        <x:v>1</x:v>
      </x:c>
      <x:c r="E18" s="68" t="n">
        <x:v>96</x:v>
      </x:c>
      <x:c r="F18" s="68" t="n">
        <x:v>960</x:v>
      </x:c>
      <x:c r="G18" s="74" t="n">
        <x:v>342.5</x:v>
      </x:c>
      <x:c r="H18" s="74" t="n">
        <x:v>356.7708</x:v>
      </x:c>
      <x:c r="I18" s="26" t="n">
        <x:v>1</x:v>
      </x:c>
    </x:row>
    <x:row r="19">
      <x:c r="A19" s="67" t="n">
        <x:v>31</x:v>
      </x:c>
      <x:c r="B19" s="68" t="n">
        <x:v>10</x:v>
      </x:c>
      <x:c r="C19" s="69" t="b">
        <x:v>0</x:v>
      </x:c>
      <x:c r="D19" s="68" t="n">
        <x:v>2</x:v>
      </x:c>
      <x:c r="E19" s="68" t="n">
        <x:v>96</x:v>
      </x:c>
      <x:c r="F19" s="68" t="n">
        <x:v>960</x:v>
      </x:c>
      <x:c r="G19" s="74" t="n">
        <x:v>371.453</x:v>
      </x:c>
      <x:c r="H19" s="74" t="n">
        <x:v>386.9302</x:v>
      </x:c>
      <x:c r="I19" s="26" t="n">
        <x:v>1</x:v>
      </x:c>
    </x:row>
    <x:row r="20">
      <x:c r="A20" s="67" t="n">
        <x:v>31</x:v>
      </x:c>
      <x:c r="B20" s="68" t="n">
        <x:v>10</x:v>
      </x:c>
      <x:c r="C20" s="69" t="b">
        <x:v>0</x:v>
      </x:c>
      <x:c r="D20" s="68" t="n">
        <x:v>3</x:v>
      </x:c>
      <x:c r="E20" s="68" t="n">
        <x:v>96</x:v>
      </x:c>
      <x:c r="F20" s="68" t="n">
        <x:v>960</x:v>
      </x:c>
      <x:c r="G20" s="74" t="n">
        <x:v>352.324</x:v>
      </x:c>
      <x:c r="H20" s="74" t="n">
        <x:v>367.0042</x:v>
      </x:c>
      <x:c r="I20" s="26" t="n">
        <x:v>1</x:v>
      </x:c>
    </x:row>
    <x:row r="21">
      <x:c r="A21" s="67" t="n">
        <x:v>31</x:v>
      </x:c>
      <x:c r="B21" s="68" t="n">
        <x:v>10</x:v>
      </x:c>
      <x:c r="C21" s="69" t="b">
        <x:v>0</x:v>
      </x:c>
      <x:c r="D21" s="68" t="n">
        <x:v>4</x:v>
      </x:c>
      <x:c r="E21" s="68" t="n">
        <x:v>96</x:v>
      </x:c>
      <x:c r="F21" s="68" t="n">
        <x:v>960</x:v>
      </x:c>
      <x:c r="G21" s="74" t="n">
        <x:v>373.327</x:v>
      </x:c>
      <x:c r="H21" s="74" t="n">
        <x:v>388.8823</x:v>
      </x:c>
      <x:c r="I21" s="26" t="n">
        <x:v>1</x:v>
      </x:c>
    </x:row>
    <x:row r="22">
      <x:c r="A22" s="67" t="n">
        <x:v>31</x:v>
      </x:c>
      <x:c r="B22" s="68" t="n">
        <x:v>10</x:v>
      </x:c>
      <x:c r="C22" s="69" t="b">
        <x:v>0</x:v>
      </x:c>
      <x:c r="D22" s="68" t="n">
        <x:v>5</x:v>
      </x:c>
      <x:c r="E22" s="68" t="n">
        <x:v>96</x:v>
      </x:c>
      <x:c r="F22" s="68" t="n">
        <x:v>960</x:v>
      </x:c>
      <x:c r="G22" s="74" t="n">
        <x:v>390.659</x:v>
      </x:c>
      <x:c r="H22" s="74" t="n">
        <x:v>406.9365</x:v>
      </x:c>
      <x:c r="I22" s="26" t="n">
        <x:v>1</x:v>
      </x:c>
    </x:row>
    <x:row r="23">
      <x:c r="A23" s="67" t="n">
        <x:v>31</x:v>
      </x:c>
      <x:c r="B23" s="68" t="n">
        <x:v>10</x:v>
      </x:c>
      <x:c r="C23" s="69" t="b">
        <x:v>0</x:v>
      </x:c>
      <x:c r="D23" s="68" t="n">
        <x:v>6</x:v>
      </x:c>
      <x:c r="E23" s="68" t="n">
        <x:v>96</x:v>
      </x:c>
      <x:c r="F23" s="68" t="n">
        <x:v>960</x:v>
      </x:c>
      <x:c r="G23" s="74" t="n">
        <x:v>348.415</x:v>
      </x:c>
      <x:c r="H23" s="74" t="n">
        <x:v>362.9323</x:v>
      </x:c>
      <x:c r="I23" s="26" t="n">
        <x:v>1</x:v>
      </x:c>
    </x:row>
    <x:row r="24">
      <x:c r="A24" s="67" t="n">
        <x:v>31</x:v>
      </x:c>
      <x:c r="B24" s="68" t="n">
        <x:v>10</x:v>
      </x:c>
      <x:c r="C24" s="69" t="b">
        <x:v>0</x:v>
      </x:c>
      <x:c r="D24" s="68" t="n">
        <x:v>7</x:v>
      </x:c>
      <x:c r="E24" s="68" t="n">
        <x:v>96</x:v>
      </x:c>
      <x:c r="F24" s="68" t="n">
        <x:v>960</x:v>
      </x:c>
      <x:c r="G24" s="74" t="n">
        <x:v>361.261</x:v>
      </x:c>
      <x:c r="H24" s="74" t="n">
        <x:v>376.3135</x:v>
      </x:c>
      <x:c r="I24" s="26" t="n">
        <x:v>1</x:v>
      </x:c>
    </x:row>
    <x:row r="25">
      <x:c r="A25" s="67" t="n">
        <x:v>31</x:v>
      </x:c>
      <x:c r="B25" s="68" t="n">
        <x:v>10</x:v>
      </x:c>
      <x:c r="C25" s="69" t="b">
        <x:v>1</x:v>
      </x:c>
      <x:c r="D25" s="68" t="n">
        <x:v>1</x:v>
      </x:c>
      <x:c r="E25" s="68" t="n">
        <x:v>96</x:v>
      </x:c>
      <x:c r="F25" s="68" t="n">
        <x:v>960</x:v>
      </x:c>
      <x:c r="G25" s="74" t="n">
        <x:v>306.898</x:v>
      </x:c>
      <x:c r="H25" s="74" t="n">
        <x:v>319.6854</x:v>
      </x:c>
      <x:c r="I25" s="26" t="n">
        <x:v>1</x:v>
      </x:c>
    </x:row>
    <x:row r="26">
      <x:c r="A26" s="67" t="n">
        <x:v>31</x:v>
      </x:c>
      <x:c r="B26" s="68" t="n">
        <x:v>10</x:v>
      </x:c>
      <x:c r="C26" s="69" t="b">
        <x:v>1</x:v>
      </x:c>
      <x:c r="D26" s="68" t="n">
        <x:v>2</x:v>
      </x:c>
      <x:c r="E26" s="68" t="n">
        <x:v>96</x:v>
      </x:c>
      <x:c r="F26" s="68" t="n">
        <x:v>960</x:v>
      </x:c>
      <x:c r="G26" s="74" t="n">
        <x:v>278.932</x:v>
      </x:c>
      <x:c r="H26" s="74" t="n">
        <x:v>290.5542</x:v>
      </x:c>
      <x:c r="I26" s="26" t="n">
        <x:v>1</x:v>
      </x:c>
    </x:row>
    <x:row r="27">
      <x:c r="A27" s="67" t="n">
        <x:v>31</x:v>
      </x:c>
      <x:c r="B27" s="68" t="n">
        <x:v>10</x:v>
      </x:c>
      <x:c r="C27" s="69" t="b">
        <x:v>1</x:v>
      </x:c>
      <x:c r="D27" s="68" t="n">
        <x:v>3</x:v>
      </x:c>
      <x:c r="E27" s="68" t="n">
        <x:v>96</x:v>
      </x:c>
      <x:c r="F27" s="68" t="n">
        <x:v>960</x:v>
      </x:c>
      <x:c r="G27" s="74" t="n">
        <x:v>265.671</x:v>
      </x:c>
      <x:c r="H27" s="74" t="n">
        <x:v>276.7406</x:v>
      </x:c>
      <x:c r="I27" s="26" t="n">
        <x:v>1</x:v>
      </x:c>
    </x:row>
    <x:row r="28">
      <x:c r="A28" s="67" t="n">
        <x:v>31</x:v>
      </x:c>
      <x:c r="B28" s="68" t="n">
        <x:v>10</x:v>
      </x:c>
      <x:c r="C28" s="69" t="b">
        <x:v>1</x:v>
      </x:c>
      <x:c r="D28" s="68" t="n">
        <x:v>4</x:v>
      </x:c>
      <x:c r="E28" s="68" t="n">
        <x:v>96</x:v>
      </x:c>
      <x:c r="F28" s="68" t="n">
        <x:v>960</x:v>
      </x:c>
      <x:c r="G28" s="74" t="n">
        <x:v>306.032</x:v>
      </x:c>
      <x:c r="H28" s="74" t="n">
        <x:v>318.7833</x:v>
      </x:c>
      <x:c r="I28" s="26" t="n">
        <x:v>1</x:v>
      </x:c>
    </x:row>
    <x:row r="29">
      <x:c r="A29" s="67" t="n">
        <x:v>31</x:v>
      </x:c>
      <x:c r="B29" s="68" t="n">
        <x:v>10</x:v>
      </x:c>
      <x:c r="C29" s="69" t="b">
        <x:v>1</x:v>
      </x:c>
      <x:c r="D29" s="68" t="n">
        <x:v>5</x:v>
      </x:c>
      <x:c r="E29" s="68" t="n">
        <x:v>96</x:v>
      </x:c>
      <x:c r="F29" s="68" t="n">
        <x:v>960</x:v>
      </x:c>
      <x:c r="G29" s="74" t="n">
        <x:v>252.438</x:v>
      </x:c>
      <x:c r="H29" s="74" t="n">
        <x:v>262.9563</x:v>
      </x:c>
      <x:c r="I29" s="26" t="n">
        <x:v>1</x:v>
      </x:c>
    </x:row>
    <x:row r="30">
      <x:c r="A30" s="67" t="n">
        <x:v>31</x:v>
      </x:c>
      <x:c r="B30" s="68" t="n">
        <x:v>10</x:v>
      </x:c>
      <x:c r="C30" s="69" t="b">
        <x:v>1</x:v>
      </x:c>
      <x:c r="D30" s="68" t="n">
        <x:v>6</x:v>
      </x:c>
      <x:c r="E30" s="68" t="n">
        <x:v>96</x:v>
      </x:c>
      <x:c r="F30" s="68" t="n">
        <x:v>960</x:v>
      </x:c>
      <x:c r="G30" s="74" t="n">
        <x:v>256.02</x:v>
      </x:c>
      <x:c r="H30" s="74" t="n">
        <x:v>266.6875</x:v>
      </x:c>
      <x:c r="I30" s="26" t="n">
        <x:v>1</x:v>
      </x:c>
    </x:row>
    <x:row r="31">
      <x:c r="A31" s="67" t="n">
        <x:v>31</x:v>
      </x:c>
      <x:c r="B31" s="68" t="n">
        <x:v>10</x:v>
      </x:c>
      <x:c r="C31" s="69" t="b">
        <x:v>1</x:v>
      </x:c>
      <x:c r="D31" s="68" t="n">
        <x:v>7</x:v>
      </x:c>
      <x:c r="E31" s="68" t="n">
        <x:v>96</x:v>
      </x:c>
      <x:c r="F31" s="68" t="n">
        <x:v>960</x:v>
      </x:c>
      <x:c r="G31" s="74" t="n">
        <x:v>248.889</x:v>
      </x:c>
      <x:c r="H31" s="74" t="n">
        <x:v>259.2594</x:v>
      </x:c>
      <x:c r="I31" s="26" t="n">
        <x:v>1</x:v>
      </x:c>
    </x:row>
    <x:row r="32">
      <x:c r="A32" s="67" t="n">
        <x:v>31</x:v>
      </x:c>
      <x:c r="B32" s="68" t="n">
        <x:v>50</x:v>
      </x:c>
      <x:c r="C32" s="69" t="b">
        <x:v>0</x:v>
      </x:c>
      <x:c r="D32" s="68" t="n">
        <x:v>1</x:v>
      </x:c>
      <x:c r="E32" s="68" t="n">
        <x:v>19</x:v>
      </x:c>
      <x:c r="F32" s="68" t="n">
        <x:v>950</x:v>
      </x:c>
      <x:c r="G32" s="74" t="n">
        <x:v>353.928</x:v>
      </x:c>
      <x:c r="H32" s="74" t="n">
        <x:v>372.5558</x:v>
      </x:c>
      <x:c r="I32" s="26" t="n">
        <x:v>1</x:v>
      </x:c>
    </x:row>
    <x:row r="33">
      <x:c r="A33" s="67" t="n">
        <x:v>31</x:v>
      </x:c>
      <x:c r="B33" s="68" t="n">
        <x:v>50</x:v>
      </x:c>
      <x:c r="C33" s="69" t="b">
        <x:v>0</x:v>
      </x:c>
      <x:c r="D33" s="68" t="n">
        <x:v>2</x:v>
      </x:c>
      <x:c r="E33" s="68" t="n">
        <x:v>19</x:v>
      </x:c>
      <x:c r="F33" s="68" t="n">
        <x:v>950</x:v>
      </x:c>
      <x:c r="G33" s="74" t="n">
        <x:v>336.8</x:v>
      </x:c>
      <x:c r="H33" s="74" t="n">
        <x:v>354.5263</x:v>
      </x:c>
      <x:c r="I33" s="26" t="n">
        <x:v>1</x:v>
      </x:c>
    </x:row>
    <x:row r="34">
      <x:c r="A34" s="67" t="n">
        <x:v>31</x:v>
      </x:c>
      <x:c r="B34" s="68" t="n">
        <x:v>50</x:v>
      </x:c>
      <x:c r="C34" s="69" t="b">
        <x:v>0</x:v>
      </x:c>
      <x:c r="D34" s="68" t="n">
        <x:v>3</x:v>
      </x:c>
      <x:c r="E34" s="68" t="n">
        <x:v>19</x:v>
      </x:c>
      <x:c r="F34" s="68" t="n">
        <x:v>950</x:v>
      </x:c>
      <x:c r="G34" s="74" t="n">
        <x:v>370.962</x:v>
      </x:c>
      <x:c r="H34" s="74" t="n">
        <x:v>390.4863</x:v>
      </x:c>
      <x:c r="I34" s="26" t="n">
        <x:v>1</x:v>
      </x:c>
    </x:row>
    <x:row r="35">
      <x:c r="A35" s="67" t="n">
        <x:v>31</x:v>
      </x:c>
      <x:c r="B35" s="68" t="n">
        <x:v>50</x:v>
      </x:c>
      <x:c r="C35" s="69" t="b">
        <x:v>0</x:v>
      </x:c>
      <x:c r="D35" s="68" t="n">
        <x:v>4</x:v>
      </x:c>
      <x:c r="E35" s="68" t="n">
        <x:v>19</x:v>
      </x:c>
      <x:c r="F35" s="68" t="n">
        <x:v>950</x:v>
      </x:c>
      <x:c r="G35" s="74" t="n">
        <x:v>367.283</x:v>
      </x:c>
      <x:c r="H35" s="74" t="n">
        <x:v>386.6137</x:v>
      </x:c>
      <x:c r="I35" s="26" t="n">
        <x:v>1</x:v>
      </x:c>
    </x:row>
    <x:row r="36">
      <x:c r="A36" s="67" t="n">
        <x:v>31</x:v>
      </x:c>
      <x:c r="B36" s="68" t="n">
        <x:v>50</x:v>
      </x:c>
      <x:c r="C36" s="69" t="b">
        <x:v>0</x:v>
      </x:c>
      <x:c r="D36" s="68" t="n">
        <x:v>5</x:v>
      </x:c>
      <x:c r="E36" s="68" t="n">
        <x:v>19</x:v>
      </x:c>
      <x:c r="F36" s="68" t="n">
        <x:v>950</x:v>
      </x:c>
      <x:c r="G36" s="74" t="n">
        <x:v>346.191</x:v>
      </x:c>
      <x:c r="H36" s="74" t="n">
        <x:v>364.4116</x:v>
      </x:c>
      <x:c r="I36" s="26" t="n">
        <x:v>1</x:v>
      </x:c>
    </x:row>
    <x:row r="37">
      <x:c r="A37" s="67" t="n">
        <x:v>31</x:v>
      </x:c>
      <x:c r="B37" s="68" t="n">
        <x:v>50</x:v>
      </x:c>
      <x:c r="C37" s="69" t="b">
        <x:v>0</x:v>
      </x:c>
      <x:c r="D37" s="68" t="n">
        <x:v>6</x:v>
      </x:c>
      <x:c r="E37" s="68" t="n">
        <x:v>19</x:v>
      </x:c>
      <x:c r="F37" s="68" t="n">
        <x:v>950</x:v>
      </x:c>
      <x:c r="G37" s="74" t="n">
        <x:v>367.24</x:v>
      </x:c>
      <x:c r="H37" s="74" t="n">
        <x:v>386.5684</x:v>
      </x:c>
      <x:c r="I37" s="26" t="n">
        <x:v>1</x:v>
      </x:c>
    </x:row>
    <x:row r="38">
      <x:c r="A38" s="67" t="n">
        <x:v>31</x:v>
      </x:c>
      <x:c r="B38" s="68" t="n">
        <x:v>50</x:v>
      </x:c>
      <x:c r="C38" s="69" t="b">
        <x:v>0</x:v>
      </x:c>
      <x:c r="D38" s="68" t="n">
        <x:v>7</x:v>
      </x:c>
      <x:c r="E38" s="68" t="n">
        <x:v>19</x:v>
      </x:c>
      <x:c r="F38" s="68" t="n">
        <x:v>950</x:v>
      </x:c>
      <x:c r="G38" s="74" t="n">
        <x:v>351.351</x:v>
      </x:c>
      <x:c r="H38" s="74" t="n">
        <x:v>369.8432</x:v>
      </x:c>
      <x:c r="I38" s="26" t="n">
        <x:v>1</x:v>
      </x:c>
    </x:row>
    <x:row r="39">
      <x:c r="A39" s="67" t="n">
        <x:v>31</x:v>
      </x:c>
      <x:c r="B39" s="68" t="n">
        <x:v>50</x:v>
      </x:c>
      <x:c r="C39" s="69" t="b">
        <x:v>1</x:v>
      </x:c>
      <x:c r="D39" s="68" t="n">
        <x:v>1</x:v>
      </x:c>
      <x:c r="E39" s="68" t="n">
        <x:v>19</x:v>
      </x:c>
      <x:c r="F39" s="68" t="n">
        <x:v>950</x:v>
      </x:c>
      <x:c r="G39" s="74" t="n">
        <x:v>268.271</x:v>
      </x:c>
      <x:c r="H39" s="74" t="n">
        <x:v>282.3905</x:v>
      </x:c>
      <x:c r="I39" s="26" t="n">
        <x:v>1</x:v>
      </x:c>
    </x:row>
    <x:row r="40">
      <x:c r="A40" s="67" t="n">
        <x:v>31</x:v>
      </x:c>
      <x:c r="B40" s="68" t="n">
        <x:v>50</x:v>
      </x:c>
      <x:c r="C40" s="69" t="b">
        <x:v>1</x:v>
      </x:c>
      <x:c r="D40" s="68" t="n">
        <x:v>2</x:v>
      </x:c>
      <x:c r="E40" s="68" t="n">
        <x:v>19</x:v>
      </x:c>
      <x:c r="F40" s="68" t="n">
        <x:v>950</x:v>
      </x:c>
      <x:c r="G40" s="74" t="n">
        <x:v>278.821</x:v>
      </x:c>
      <x:c r="H40" s="74" t="n">
        <x:v>293.4958</x:v>
      </x:c>
      <x:c r="I40" s="26" t="n">
        <x:v>1</x:v>
      </x:c>
    </x:row>
    <x:row r="41">
      <x:c r="A41" s="67" t="n">
        <x:v>31</x:v>
      </x:c>
      <x:c r="B41" s="68" t="n">
        <x:v>50</x:v>
      </x:c>
      <x:c r="C41" s="69" t="b">
        <x:v>1</x:v>
      </x:c>
      <x:c r="D41" s="68" t="n">
        <x:v>3</x:v>
      </x:c>
      <x:c r="E41" s="68" t="n">
        <x:v>19</x:v>
      </x:c>
      <x:c r="F41" s="68" t="n">
        <x:v>950</x:v>
      </x:c>
      <x:c r="G41" s="74" t="n">
        <x:v>274.123</x:v>
      </x:c>
      <x:c r="H41" s="74" t="n">
        <x:v>288.5505</x:v>
      </x:c>
      <x:c r="I41" s="26" t="n">
        <x:v>1</x:v>
      </x:c>
    </x:row>
    <x:row r="42">
      <x:c r="A42" s="67" t="n">
        <x:v>31</x:v>
      </x:c>
      <x:c r="B42" s="68" t="n">
        <x:v>50</x:v>
      </x:c>
      <x:c r="C42" s="69" t="b">
        <x:v>1</x:v>
      </x:c>
      <x:c r="D42" s="68" t="n">
        <x:v>4</x:v>
      </x:c>
      <x:c r="E42" s="68" t="n">
        <x:v>19</x:v>
      </x:c>
      <x:c r="F42" s="68" t="n">
        <x:v>950</x:v>
      </x:c>
      <x:c r="G42" s="74" t="n">
        <x:v>279.391</x:v>
      </x:c>
      <x:c r="H42" s="74" t="n">
        <x:v>294.0958</x:v>
      </x:c>
      <x:c r="I42" s="26" t="n">
        <x:v>1</x:v>
      </x:c>
    </x:row>
    <x:row r="43">
      <x:c r="A43" s="67" t="n">
        <x:v>31</x:v>
      </x:c>
      <x:c r="B43" s="68" t="n">
        <x:v>50</x:v>
      </x:c>
      <x:c r="C43" s="69" t="b">
        <x:v>1</x:v>
      </x:c>
      <x:c r="D43" s="68" t="n">
        <x:v>5</x:v>
      </x:c>
      <x:c r="E43" s="68" t="n">
        <x:v>19</x:v>
      </x:c>
      <x:c r="F43" s="68" t="n">
        <x:v>950</x:v>
      </x:c>
      <x:c r="G43" s="74" t="n">
        <x:v>283.576</x:v>
      </x:c>
      <x:c r="H43" s="74" t="n">
        <x:v>298.5011</x:v>
      </x:c>
      <x:c r="I43" s="26" t="n">
        <x:v>1</x:v>
      </x:c>
    </x:row>
    <x:row r="44">
      <x:c r="A44" s="67" t="n">
        <x:v>31</x:v>
      </x:c>
      <x:c r="B44" s="68" t="n">
        <x:v>50</x:v>
      </x:c>
      <x:c r="C44" s="69" t="b">
        <x:v>1</x:v>
      </x:c>
      <x:c r="D44" s="68" t="n">
        <x:v>6</x:v>
      </x:c>
      <x:c r="E44" s="68" t="n">
        <x:v>19</x:v>
      </x:c>
      <x:c r="F44" s="68" t="n">
        <x:v>950</x:v>
      </x:c>
      <x:c r="G44" s="74" t="n">
        <x:v>281.427</x:v>
      </x:c>
      <x:c r="H44" s="74" t="n">
        <x:v>296.2389</x:v>
      </x:c>
      <x:c r="I44" s="26" t="n">
        <x:v>1</x:v>
      </x:c>
    </x:row>
    <x:row r="45">
      <x:c r="A45" s="67" t="n">
        <x:v>31</x:v>
      </x:c>
      <x:c r="B45" s="68" t="n">
        <x:v>50</x:v>
      </x:c>
      <x:c r="C45" s="69" t="b">
        <x:v>1</x:v>
      </x:c>
      <x:c r="D45" s="68" t="n">
        <x:v>7</x:v>
      </x:c>
      <x:c r="E45" s="68" t="n">
        <x:v>19</x:v>
      </x:c>
      <x:c r="F45" s="68" t="n">
        <x:v>950</x:v>
      </x:c>
      <x:c r="G45" s="74" t="n">
        <x:v>305.22</x:v>
      </x:c>
      <x:c r="H45" s="74" t="n">
        <x:v>321.2842</x:v>
      </x:c>
      <x:c r="I45" s="26" t="n">
        <x:v>1</x:v>
      </x:c>
    </x:row>
    <x:row r="46">
      <x:c r="A46" s="67" t="n">
        <x:v>121</x:v>
      </x:c>
      <x:c r="B46" s="68" t="n">
        <x:v>1</x:v>
      </x:c>
      <x:c r="C46" s="69" t="b">
        <x:v>0</x:v>
      </x:c>
      <x:c r="D46" s="68" t="n">
        <x:v>1</x:v>
      </x:c>
      <x:c r="E46" s="68" t="n">
        <x:v>247</x:v>
      </x:c>
      <x:c r="F46" s="68" t="n">
        <x:v>247</x:v>
      </x:c>
      <x:c r="G46" s="74" t="n">
        <x:v>666.503</x:v>
      </x:c>
      <x:c r="H46" s="74" t="n">
        <x:v>2698.3927</x:v>
      </x:c>
      <x:c r="I46" s="26" t="n">
        <x:v>1</x:v>
      </x:c>
    </x:row>
    <x:row r="47">
      <x:c r="A47" s="67" t="n">
        <x:v>121</x:v>
      </x:c>
      <x:c r="B47" s="68" t="n">
        <x:v>1</x:v>
      </x:c>
      <x:c r="C47" s="69" t="b">
        <x:v>0</x:v>
      </x:c>
      <x:c r="D47" s="68" t="n">
        <x:v>2</x:v>
      </x:c>
      <x:c r="E47" s="68" t="n">
        <x:v>247</x:v>
      </x:c>
      <x:c r="F47" s="68" t="n">
        <x:v>247</x:v>
      </x:c>
      <x:c r="G47" s="74" t="n">
        <x:v>583.649</x:v>
      </x:c>
      <x:c r="H47" s="74" t="n">
        <x:v>2362.9514</x:v>
      </x:c>
      <x:c r="I47" s="26" t="n">
        <x:v>1</x:v>
      </x:c>
    </x:row>
    <x:row r="48">
      <x:c r="A48" s="67" t="n">
        <x:v>121</x:v>
      </x:c>
      <x:c r="B48" s="68" t="n">
        <x:v>1</x:v>
      </x:c>
      <x:c r="C48" s="69" t="b">
        <x:v>0</x:v>
      </x:c>
      <x:c r="D48" s="68" t="n">
        <x:v>3</x:v>
      </x:c>
      <x:c r="E48" s="68" t="n">
        <x:v>247</x:v>
      </x:c>
      <x:c r="F48" s="68" t="n">
        <x:v>247</x:v>
      </x:c>
      <x:c r="G48" s="74" t="n">
        <x:v>574.197</x:v>
      </x:c>
      <x:c r="H48" s="74" t="n">
        <x:v>2324.6842</x:v>
      </x:c>
      <x:c r="I48" s="26" t="n">
        <x:v>1</x:v>
      </x:c>
    </x:row>
    <x:row r="49">
      <x:c r="A49" s="67" t="n">
        <x:v>121</x:v>
      </x:c>
      <x:c r="B49" s="68" t="n">
        <x:v>1</x:v>
      </x:c>
      <x:c r="C49" s="69" t="b">
        <x:v>0</x:v>
      </x:c>
      <x:c r="D49" s="68" t="n">
        <x:v>4</x:v>
      </x:c>
      <x:c r="E49" s="68" t="n">
        <x:v>247</x:v>
      </x:c>
      <x:c r="F49" s="68" t="n">
        <x:v>247</x:v>
      </x:c>
      <x:c r="G49" s="74" t="n">
        <x:v>599.432</x:v>
      </x:c>
      <x:c r="H49" s="74" t="n">
        <x:v>2426.8502</x:v>
      </x:c>
      <x:c r="I49" s="26" t="n">
        <x:v>1</x:v>
      </x:c>
    </x:row>
    <x:row r="50">
      <x:c r="A50" s="67" t="n">
        <x:v>121</x:v>
      </x:c>
      <x:c r="B50" s="68" t="n">
        <x:v>1</x:v>
      </x:c>
      <x:c r="C50" s="69" t="b">
        <x:v>0</x:v>
      </x:c>
      <x:c r="D50" s="68" t="n">
        <x:v>5</x:v>
      </x:c>
      <x:c r="E50" s="68" t="n">
        <x:v>247</x:v>
      </x:c>
      <x:c r="F50" s="68" t="n">
        <x:v>247</x:v>
      </x:c>
      <x:c r="G50" s="74" t="n">
        <x:v>617.135</x:v>
      </x:c>
      <x:c r="H50" s="74" t="n">
        <x:v>2498.5223</x:v>
      </x:c>
      <x:c r="I50" s="26" t="n">
        <x:v>1</x:v>
      </x:c>
    </x:row>
    <x:row r="51">
      <x:c r="A51" s="67" t="n">
        <x:v>121</x:v>
      </x:c>
      <x:c r="B51" s="68" t="n">
        <x:v>1</x:v>
      </x:c>
      <x:c r="C51" s="69" t="b">
        <x:v>0</x:v>
      </x:c>
      <x:c r="D51" s="68" t="n">
        <x:v>6</x:v>
      </x:c>
      <x:c r="E51" s="68" t="n">
        <x:v>247</x:v>
      </x:c>
      <x:c r="F51" s="68" t="n">
        <x:v>247</x:v>
      </x:c>
      <x:c r="G51" s="74" t="n">
        <x:v>578.872</x:v>
      </x:c>
      <x:c r="H51" s="74" t="n">
        <x:v>2343.6113</x:v>
      </x:c>
      <x:c r="I51" s="26" t="n">
        <x:v>1</x:v>
      </x:c>
    </x:row>
    <x:row r="52">
      <x:c r="A52" s="67" t="n">
        <x:v>121</x:v>
      </x:c>
      <x:c r="B52" s="68" t="n">
        <x:v>1</x:v>
      </x:c>
      <x:c r="C52" s="69" t="b">
        <x:v>0</x:v>
      </x:c>
      <x:c r="D52" s="68" t="n">
        <x:v>7</x:v>
      </x:c>
      <x:c r="E52" s="68" t="n">
        <x:v>247</x:v>
      </x:c>
      <x:c r="F52" s="68" t="n">
        <x:v>247</x:v>
      </x:c>
      <x:c r="G52" s="74" t="n">
        <x:v>594.215</x:v>
      </x:c>
      <x:c r="H52" s="74" t="n">
        <x:v>2405.7287</x:v>
      </x:c>
      <x:c r="I52" s="26" t="n">
        <x:v>1</x:v>
      </x:c>
    </x:row>
    <x:row r="53">
      <x:c r="A53" s="67" t="n">
        <x:v>121</x:v>
      </x:c>
      <x:c r="B53" s="68" t="n">
        <x:v>1</x:v>
      </x:c>
      <x:c r="C53" s="69" t="b">
        <x:v>1</x:v>
      </x:c>
      <x:c r="D53" s="68" t="n">
        <x:v>1</x:v>
      </x:c>
      <x:c r="E53" s="68" t="n">
        <x:v>247</x:v>
      </x:c>
      <x:c r="F53" s="68" t="n">
        <x:v>247</x:v>
      </x:c>
      <x:c r="G53" s="74" t="n">
        <x:v>296.093</x:v>
      </x:c>
      <x:c r="H53" s="74" t="n">
        <x:v>1198.7571</x:v>
      </x:c>
      <x:c r="I53" s="26" t="n">
        <x:v>1</x:v>
      </x:c>
    </x:row>
    <x:row r="54">
      <x:c r="A54" s="67" t="n">
        <x:v>121</x:v>
      </x:c>
      <x:c r="B54" s="68" t="n">
        <x:v>1</x:v>
      </x:c>
      <x:c r="C54" s="69" t="b">
        <x:v>1</x:v>
      </x:c>
      <x:c r="D54" s="68" t="n">
        <x:v>2</x:v>
      </x:c>
      <x:c r="E54" s="68" t="n">
        <x:v>247</x:v>
      </x:c>
      <x:c r="F54" s="68" t="n">
        <x:v>247</x:v>
      </x:c>
      <x:c r="G54" s="74" t="n">
        <x:v>299.364</x:v>
      </x:c>
      <x:c r="H54" s="74" t="n">
        <x:v>1212</x:v>
      </x:c>
      <x:c r="I54" s="26" t="n">
        <x:v>1</x:v>
      </x:c>
    </x:row>
    <x:row r="55">
      <x:c r="A55" s="67" t="n">
        <x:v>121</x:v>
      </x:c>
      <x:c r="B55" s="68" t="n">
        <x:v>1</x:v>
      </x:c>
      <x:c r="C55" s="69" t="b">
        <x:v>1</x:v>
      </x:c>
      <x:c r="D55" s="68" t="n">
        <x:v>3</x:v>
      </x:c>
      <x:c r="E55" s="68" t="n">
        <x:v>247</x:v>
      </x:c>
      <x:c r="F55" s="68" t="n">
        <x:v>247</x:v>
      </x:c>
      <x:c r="G55" s="74" t="n">
        <x:v>273.115</x:v>
      </x:c>
      <x:c r="H55" s="74" t="n">
        <x:v>1105.7287</x:v>
      </x:c>
      <x:c r="I55" s="26" t="n">
        <x:v>1</x:v>
      </x:c>
    </x:row>
    <x:row r="56">
      <x:c r="A56" s="67" t="n">
        <x:v>121</x:v>
      </x:c>
      <x:c r="B56" s="68" t="n">
        <x:v>1</x:v>
      </x:c>
      <x:c r="C56" s="69" t="b">
        <x:v>1</x:v>
      </x:c>
      <x:c r="D56" s="68" t="n">
        <x:v>4</x:v>
      </x:c>
      <x:c r="E56" s="68" t="n">
        <x:v>247</x:v>
      </x:c>
      <x:c r="F56" s="68" t="n">
        <x:v>247</x:v>
      </x:c>
      <x:c r="G56" s="74" t="n">
        <x:v>265.169</x:v>
      </x:c>
      <x:c r="H56" s="74" t="n">
        <x:v>1073.5587</x:v>
      </x:c>
      <x:c r="I56" s="26" t="n">
        <x:v>1</x:v>
      </x:c>
    </x:row>
    <x:row r="57">
      <x:c r="A57" s="67" t="n">
        <x:v>121</x:v>
      </x:c>
      <x:c r="B57" s="68" t="n">
        <x:v>1</x:v>
      </x:c>
      <x:c r="C57" s="69" t="b">
        <x:v>1</x:v>
      </x:c>
      <x:c r="D57" s="68" t="n">
        <x:v>5</x:v>
      </x:c>
      <x:c r="E57" s="68" t="n">
        <x:v>247</x:v>
      </x:c>
      <x:c r="F57" s="68" t="n">
        <x:v>247</x:v>
      </x:c>
      <x:c r="G57" s="74" t="n">
        <x:v>265.456</x:v>
      </x:c>
      <x:c r="H57" s="74" t="n">
        <x:v>1074.7206</x:v>
      </x:c>
      <x:c r="I57" s="26" t="n">
        <x:v>1</x:v>
      </x:c>
    </x:row>
    <x:row r="58">
      <x:c r="A58" s="67" t="n">
        <x:v>121</x:v>
      </x:c>
      <x:c r="B58" s="68" t="n">
        <x:v>1</x:v>
      </x:c>
      <x:c r="C58" s="69" t="b">
        <x:v>1</x:v>
      </x:c>
      <x:c r="D58" s="68" t="n">
        <x:v>6</x:v>
      </x:c>
      <x:c r="E58" s="68" t="n">
        <x:v>247</x:v>
      </x:c>
      <x:c r="F58" s="68" t="n">
        <x:v>247</x:v>
      </x:c>
      <x:c r="G58" s="74" t="n">
        <x:v>302.29</x:v>
      </x:c>
      <x:c r="H58" s="74" t="n">
        <x:v>1223.8462</x:v>
      </x:c>
      <x:c r="I58" s="26" t="n">
        <x:v>1</x:v>
      </x:c>
    </x:row>
    <x:row r="59">
      <x:c r="A59" s="67" t="n">
        <x:v>121</x:v>
      </x:c>
      <x:c r="B59" s="68" t="n">
        <x:v>1</x:v>
      </x:c>
      <x:c r="C59" s="69" t="b">
        <x:v>1</x:v>
      </x:c>
      <x:c r="D59" s="68" t="n">
        <x:v>7</x:v>
      </x:c>
      <x:c r="E59" s="68" t="n">
        <x:v>247</x:v>
      </x:c>
      <x:c r="F59" s="68" t="n">
        <x:v>247</x:v>
      </x:c>
      <x:c r="G59" s="74" t="n">
        <x:v>281.627</x:v>
      </x:c>
      <x:c r="H59" s="74" t="n">
        <x:v>1140.1903</x:v>
      </x:c>
      <x:c r="I59" s="26" t="n">
        <x:v>1</x:v>
      </x:c>
    </x:row>
    <x:row r="60">
      <x:c r="A60" s="67" t="n">
        <x:v>121</x:v>
      </x:c>
      <x:c r="B60" s="68" t="n">
        <x:v>10</x:v>
      </x:c>
      <x:c r="C60" s="69" t="b">
        <x:v>0</x:v>
      </x:c>
      <x:c r="D60" s="68" t="n">
        <x:v>1</x:v>
      </x:c>
      <x:c r="E60" s="68" t="n">
        <x:v>24</x:v>
      </x:c>
      <x:c r="F60" s="68" t="n">
        <x:v>240</x:v>
      </x:c>
      <x:c r="G60" s="74" t="n">
        <x:v>621.599</x:v>
      </x:c>
      <x:c r="H60" s="74" t="n">
        <x:v>2589.9958</x:v>
      </x:c>
      <x:c r="I60" s="26" t="n">
        <x:v>1</x:v>
      </x:c>
    </x:row>
    <x:row r="61">
      <x:c r="A61" s="67" t="n">
        <x:v>121</x:v>
      </x:c>
      <x:c r="B61" s="68" t="n">
        <x:v>10</x:v>
      </x:c>
      <x:c r="C61" s="69" t="b">
        <x:v>0</x:v>
      </x:c>
      <x:c r="D61" s="68" t="n">
        <x:v>2</x:v>
      </x:c>
      <x:c r="E61" s="68" t="n">
        <x:v>24</x:v>
      </x:c>
      <x:c r="F61" s="68" t="n">
        <x:v>240</x:v>
      </x:c>
      <x:c r="G61" s="74" t="n">
        <x:v>583.046</x:v>
      </x:c>
      <x:c r="H61" s="74" t="n">
        <x:v>2429.3583</x:v>
      </x:c>
      <x:c r="I61" s="26" t="n">
        <x:v>1</x:v>
      </x:c>
    </x:row>
    <x:row r="62">
      <x:c r="A62" s="67" t="n">
        <x:v>121</x:v>
      </x:c>
      <x:c r="B62" s="68" t="n">
        <x:v>10</x:v>
      </x:c>
      <x:c r="C62" s="69" t="b">
        <x:v>0</x:v>
      </x:c>
      <x:c r="D62" s="68" t="n">
        <x:v>3</x:v>
      </x:c>
      <x:c r="E62" s="68" t="n">
        <x:v>24</x:v>
      </x:c>
      <x:c r="F62" s="68" t="n">
        <x:v>240</x:v>
      </x:c>
      <x:c r="G62" s="74" t="n">
        <x:v>627.1</x:v>
      </x:c>
      <x:c r="H62" s="74" t="n">
        <x:v>2612.9167</x:v>
      </x:c>
      <x:c r="I62" s="26" t="n">
        <x:v>1</x:v>
      </x:c>
    </x:row>
    <x:row r="63">
      <x:c r="A63" s="67" t="n">
        <x:v>121</x:v>
      </x:c>
      <x:c r="B63" s="68" t="n">
        <x:v>10</x:v>
      </x:c>
      <x:c r="C63" s="69" t="b">
        <x:v>0</x:v>
      </x:c>
      <x:c r="D63" s="68" t="n">
        <x:v>4</x:v>
      </x:c>
      <x:c r="E63" s="68" t="n">
        <x:v>24</x:v>
      </x:c>
      <x:c r="F63" s="68" t="n">
        <x:v>240</x:v>
      </x:c>
      <x:c r="G63" s="74" t="n">
        <x:v>654.405</x:v>
      </x:c>
      <x:c r="H63" s="74" t="n">
        <x:v>2726.6875</x:v>
      </x:c>
      <x:c r="I63" s="26" t="n">
        <x:v>1</x:v>
      </x:c>
    </x:row>
    <x:row r="64">
      <x:c r="A64" s="67" t="n">
        <x:v>121</x:v>
      </x:c>
      <x:c r="B64" s="68" t="n">
        <x:v>10</x:v>
      </x:c>
      <x:c r="C64" s="69" t="b">
        <x:v>0</x:v>
      </x:c>
      <x:c r="D64" s="68" t="n">
        <x:v>5</x:v>
      </x:c>
      <x:c r="E64" s="68" t="n">
        <x:v>24</x:v>
      </x:c>
      <x:c r="F64" s="68" t="n">
        <x:v>240</x:v>
      </x:c>
      <x:c r="G64" s="74" t="n">
        <x:v>579.325</x:v>
      </x:c>
      <x:c r="H64" s="74" t="n">
        <x:v>2413.8542</x:v>
      </x:c>
      <x:c r="I64" s="26" t="n">
        <x:v>1</x:v>
      </x:c>
    </x:row>
    <x:row r="65">
      <x:c r="A65" s="67" t="n">
        <x:v>121</x:v>
      </x:c>
      <x:c r="B65" s="68" t="n">
        <x:v>10</x:v>
      </x:c>
      <x:c r="C65" s="69" t="b">
        <x:v>0</x:v>
      </x:c>
      <x:c r="D65" s="68" t="n">
        <x:v>6</x:v>
      </x:c>
      <x:c r="E65" s="68" t="n">
        <x:v>24</x:v>
      </x:c>
      <x:c r="F65" s="68" t="n">
        <x:v>240</x:v>
      </x:c>
      <x:c r="G65" s="74" t="n">
        <x:v>571.667</x:v>
      </x:c>
      <x:c r="H65" s="74" t="n">
        <x:v>2381.9458</x:v>
      </x:c>
      <x:c r="I65" s="26" t="n">
        <x:v>1</x:v>
      </x:c>
    </x:row>
    <x:row r="66">
      <x:c r="A66" s="67" t="n">
        <x:v>121</x:v>
      </x:c>
      <x:c r="B66" s="68" t="n">
        <x:v>10</x:v>
      </x:c>
      <x:c r="C66" s="69" t="b">
        <x:v>0</x:v>
      </x:c>
      <x:c r="D66" s="68" t="n">
        <x:v>7</x:v>
      </x:c>
      <x:c r="E66" s="68" t="n">
        <x:v>24</x:v>
      </x:c>
      <x:c r="F66" s="68" t="n">
        <x:v>240</x:v>
      </x:c>
      <x:c r="G66" s="74" t="n">
        <x:v>568.553</x:v>
      </x:c>
      <x:c r="H66" s="74" t="n">
        <x:v>2368.9708</x:v>
      </x:c>
      <x:c r="I66" s="26" t="n">
        <x:v>1</x:v>
      </x:c>
    </x:row>
    <x:row r="67">
      <x:c r="A67" s="67" t="n">
        <x:v>121</x:v>
      </x:c>
      <x:c r="B67" s="68" t="n">
        <x:v>10</x:v>
      </x:c>
      <x:c r="C67" s="69" t="b">
        <x:v>1</x:v>
      </x:c>
      <x:c r="D67" s="68" t="n">
        <x:v>1</x:v>
      </x:c>
      <x:c r="E67" s="68" t="n">
        <x:v>24</x:v>
      </x:c>
      <x:c r="F67" s="68" t="n">
        <x:v>240</x:v>
      </x:c>
      <x:c r="G67" s="74" t="n">
        <x:v>255.944</x:v>
      </x:c>
      <x:c r="H67" s="74" t="n">
        <x:v>1066.4333</x:v>
      </x:c>
      <x:c r="I67" s="26" t="n">
        <x:v>1</x:v>
      </x:c>
    </x:row>
    <x:row r="68">
      <x:c r="A68" s="67" t="n">
        <x:v>121</x:v>
      </x:c>
      <x:c r="B68" s="68" t="n">
        <x:v>10</x:v>
      </x:c>
      <x:c r="C68" s="69" t="b">
        <x:v>1</x:v>
      </x:c>
      <x:c r="D68" s="68" t="n">
        <x:v>2</x:v>
      </x:c>
      <x:c r="E68" s="68" t="n">
        <x:v>24</x:v>
      </x:c>
      <x:c r="F68" s="68" t="n">
        <x:v>240</x:v>
      </x:c>
      <x:c r="G68" s="74" t="n">
        <x:v>287.577</x:v>
      </x:c>
      <x:c r="H68" s="74" t="n">
        <x:v>1198.2375</x:v>
      </x:c>
      <x:c r="I68" s="26" t="n">
        <x:v>1</x:v>
      </x:c>
    </x:row>
    <x:row r="69">
      <x:c r="A69" s="67" t="n">
        <x:v>121</x:v>
      </x:c>
      <x:c r="B69" s="68" t="n">
        <x:v>10</x:v>
      </x:c>
      <x:c r="C69" s="69" t="b">
        <x:v>1</x:v>
      </x:c>
      <x:c r="D69" s="68" t="n">
        <x:v>3</x:v>
      </x:c>
      <x:c r="E69" s="68" t="n">
        <x:v>24</x:v>
      </x:c>
      <x:c r="F69" s="68" t="n">
        <x:v>240</x:v>
      </x:c>
      <x:c r="G69" s="74" t="n">
        <x:v>242.011</x:v>
      </x:c>
      <x:c r="H69" s="74" t="n">
        <x:v>1008.3792</x:v>
      </x:c>
      <x:c r="I69" s="26" t="n">
        <x:v>1</x:v>
      </x:c>
    </x:row>
    <x:row r="70">
      <x:c r="A70" s="67" t="n">
        <x:v>121</x:v>
      </x:c>
      <x:c r="B70" s="68" t="n">
        <x:v>10</x:v>
      </x:c>
      <x:c r="C70" s="69" t="b">
        <x:v>1</x:v>
      </x:c>
      <x:c r="D70" s="68" t="n">
        <x:v>4</x:v>
      </x:c>
      <x:c r="E70" s="68" t="n">
        <x:v>24</x:v>
      </x:c>
      <x:c r="F70" s="68" t="n">
        <x:v>240</x:v>
      </x:c>
      <x:c r="G70" s="74" t="n">
        <x:v>241.538</x:v>
      </x:c>
      <x:c r="H70" s="74" t="n">
        <x:v>1006.4083</x:v>
      </x:c>
      <x:c r="I70" s="26" t="n">
        <x:v>1</x:v>
      </x:c>
    </x:row>
    <x:row r="71">
      <x:c r="A71" s="67" t="n">
        <x:v>121</x:v>
      </x:c>
      <x:c r="B71" s="68" t="n">
        <x:v>10</x:v>
      </x:c>
      <x:c r="C71" s="69" t="b">
        <x:v>1</x:v>
      </x:c>
      <x:c r="D71" s="68" t="n">
        <x:v>5</x:v>
      </x:c>
      <x:c r="E71" s="68" t="n">
        <x:v>24</x:v>
      </x:c>
      <x:c r="F71" s="68" t="n">
        <x:v>240</x:v>
      </x:c>
      <x:c r="G71" s="74" t="n">
        <x:v>256.44</x:v>
      </x:c>
      <x:c r="H71" s="74" t="n">
        <x:v>1068.5</x:v>
      </x:c>
      <x:c r="I71" s="26" t="n">
        <x:v>1</x:v>
      </x:c>
    </x:row>
    <x:row r="72">
      <x:c r="A72" s="67" t="n">
        <x:v>121</x:v>
      </x:c>
      <x:c r="B72" s="68" t="n">
        <x:v>10</x:v>
      </x:c>
      <x:c r="C72" s="69" t="b">
        <x:v>1</x:v>
      </x:c>
      <x:c r="D72" s="68" t="n">
        <x:v>6</x:v>
      </x:c>
      <x:c r="E72" s="68" t="n">
        <x:v>24</x:v>
      </x:c>
      <x:c r="F72" s="68" t="n">
        <x:v>240</x:v>
      </x:c>
      <x:c r="G72" s="74" t="n">
        <x:v>283.887</x:v>
      </x:c>
      <x:c r="H72" s="74" t="n">
        <x:v>1182.8625</x:v>
      </x:c>
      <x:c r="I72" s="26" t="n">
        <x:v>1</x:v>
      </x:c>
    </x:row>
    <x:row r="73">
      <x:c r="A73" s="67" t="n">
        <x:v>121</x:v>
      </x:c>
      <x:c r="B73" s="68" t="n">
        <x:v>10</x:v>
      </x:c>
      <x:c r="C73" s="69" t="b">
        <x:v>1</x:v>
      </x:c>
      <x:c r="D73" s="68" t="n">
        <x:v>7</x:v>
      </x:c>
      <x:c r="E73" s="68" t="n">
        <x:v>24</x:v>
      </x:c>
      <x:c r="F73" s="68" t="n">
        <x:v>240</x:v>
      </x:c>
      <x:c r="G73" s="74" t="n">
        <x:v>264.105</x:v>
      </x:c>
      <x:c r="H73" s="74" t="n">
        <x:v>1100.4375</x:v>
      </x:c>
      <x:c r="I73" s="26" t="n">
        <x:v>1</x:v>
      </x:c>
    </x:row>
    <x:row r="74">
      <x:c r="A74" s="67" t="n">
        <x:v>121</x:v>
      </x:c>
      <x:c r="B74" s="68" t="n">
        <x:v>50</x:v>
      </x:c>
      <x:c r="C74" s="69" t="b">
        <x:v>0</x:v>
      </x:c>
      <x:c r="D74" s="68" t="n">
        <x:v>1</x:v>
      </x:c>
      <x:c r="E74" s="68" t="n">
        <x:v>4</x:v>
      </x:c>
      <x:c r="F74" s="68" t="n">
        <x:v>200</x:v>
      </x:c>
      <x:c r="G74" s="74" t="n">
        <x:v>537.451</x:v>
      </x:c>
      <x:c r="H74" s="74" t="n">
        <x:v>2687.255</x:v>
      </x:c>
      <x:c r="I74" s="26" t="n">
        <x:v>1</x:v>
      </x:c>
    </x:row>
    <x:row r="75">
      <x:c r="A75" s="67" t="n">
        <x:v>121</x:v>
      </x:c>
      <x:c r="B75" s="68" t="n">
        <x:v>50</x:v>
      </x:c>
      <x:c r="C75" s="69" t="b">
        <x:v>0</x:v>
      </x:c>
      <x:c r="D75" s="68" t="n">
        <x:v>2</x:v>
      </x:c>
      <x:c r="E75" s="68" t="n">
        <x:v>4</x:v>
      </x:c>
      <x:c r="F75" s="68" t="n">
        <x:v>200</x:v>
      </x:c>
      <x:c r="G75" s="74" t="n">
        <x:v>489.91</x:v>
      </x:c>
      <x:c r="H75" s="74" t="n">
        <x:v>2449.55</x:v>
      </x:c>
      <x:c r="I75" s="26" t="n">
        <x:v>1</x:v>
      </x:c>
    </x:row>
    <x:row r="76">
      <x:c r="A76" s="67" t="n">
        <x:v>121</x:v>
      </x:c>
      <x:c r="B76" s="68" t="n">
        <x:v>50</x:v>
      </x:c>
      <x:c r="C76" s="69" t="b">
        <x:v>0</x:v>
      </x:c>
      <x:c r="D76" s="68" t="n">
        <x:v>3</x:v>
      </x:c>
      <x:c r="E76" s="68" t="n">
        <x:v>4</x:v>
      </x:c>
      <x:c r="F76" s="68" t="n">
        <x:v>200</x:v>
      </x:c>
      <x:c r="G76" s="74" t="n">
        <x:v>527.833</x:v>
      </x:c>
      <x:c r="H76" s="74" t="n">
        <x:v>2639.165</x:v>
      </x:c>
      <x:c r="I76" s="26" t="n">
        <x:v>1</x:v>
      </x:c>
    </x:row>
    <x:row r="77">
      <x:c r="A77" s="67" t="n">
        <x:v>121</x:v>
      </x:c>
      <x:c r="B77" s="68" t="n">
        <x:v>50</x:v>
      </x:c>
      <x:c r="C77" s="69" t="b">
        <x:v>0</x:v>
      </x:c>
      <x:c r="D77" s="68" t="n">
        <x:v>4</x:v>
      </x:c>
      <x:c r="E77" s="68" t="n">
        <x:v>4</x:v>
      </x:c>
      <x:c r="F77" s="68" t="n">
        <x:v>200</x:v>
      </x:c>
      <x:c r="G77" s="74" t="n">
        <x:v>498.021</x:v>
      </x:c>
      <x:c r="H77" s="74" t="n">
        <x:v>2490.105</x:v>
      </x:c>
      <x:c r="I77" s="26" t="n">
        <x:v>1</x:v>
      </x:c>
    </x:row>
    <x:row r="78">
      <x:c r="A78" s="67" t="n">
        <x:v>121</x:v>
      </x:c>
      <x:c r="B78" s="68" t="n">
        <x:v>50</x:v>
      </x:c>
      <x:c r="C78" s="69" t="b">
        <x:v>0</x:v>
      </x:c>
      <x:c r="D78" s="68" t="n">
        <x:v>5</x:v>
      </x:c>
      <x:c r="E78" s="68" t="n">
        <x:v>4</x:v>
      </x:c>
      <x:c r="F78" s="68" t="n">
        <x:v>200</x:v>
      </x:c>
      <x:c r="G78" s="74" t="n">
        <x:v>590.947</x:v>
      </x:c>
      <x:c r="H78" s="74" t="n">
        <x:v>2954.735</x:v>
      </x:c>
      <x:c r="I78" s="26" t="n">
        <x:v>1</x:v>
      </x:c>
    </x:row>
    <x:row r="79">
      <x:c r="A79" s="67" t="n">
        <x:v>121</x:v>
      </x:c>
      <x:c r="B79" s="68" t="n">
        <x:v>50</x:v>
      </x:c>
      <x:c r="C79" s="69" t="b">
        <x:v>0</x:v>
      </x:c>
      <x:c r="D79" s="68" t="n">
        <x:v>6</x:v>
      </x:c>
      <x:c r="E79" s="68" t="n">
        <x:v>4</x:v>
      </x:c>
      <x:c r="F79" s="68" t="n">
        <x:v>200</x:v>
      </x:c>
      <x:c r="G79" s="74" t="n">
        <x:v>597.951</x:v>
      </x:c>
      <x:c r="H79" s="74" t="n">
        <x:v>2989.755</x:v>
      </x:c>
      <x:c r="I79" s="26" t="n">
        <x:v>1</x:v>
      </x:c>
    </x:row>
    <x:row r="80">
      <x:c r="A80" s="67" t="n">
        <x:v>121</x:v>
      </x:c>
      <x:c r="B80" s="68" t="n">
        <x:v>50</x:v>
      </x:c>
      <x:c r="C80" s="69" t="b">
        <x:v>0</x:v>
      </x:c>
      <x:c r="D80" s="68" t="n">
        <x:v>7</x:v>
      </x:c>
      <x:c r="E80" s="68" t="n">
        <x:v>4</x:v>
      </x:c>
      <x:c r="F80" s="68" t="n">
        <x:v>200</x:v>
      </x:c>
      <x:c r="G80" s="74" t="n">
        <x:v>572.153</x:v>
      </x:c>
      <x:c r="H80" s="74" t="n">
        <x:v>2860.765</x:v>
      </x:c>
      <x:c r="I80" s="26" t="n">
        <x:v>1</x:v>
      </x:c>
    </x:row>
    <x:row r="81">
      <x:c r="A81" s="67" t="n">
        <x:v>121</x:v>
      </x:c>
      <x:c r="B81" s="68" t="n">
        <x:v>50</x:v>
      </x:c>
      <x:c r="C81" s="69" t="b">
        <x:v>1</x:v>
      </x:c>
      <x:c r="D81" s="68" t="n">
        <x:v>1</x:v>
      </x:c>
      <x:c r="E81" s="68" t="n">
        <x:v>4</x:v>
      </x:c>
      <x:c r="F81" s="68" t="n">
        <x:v>200</x:v>
      </x:c>
      <x:c r="G81" s="74" t="n">
        <x:v>265.921</x:v>
      </x:c>
      <x:c r="H81" s="74" t="n">
        <x:v>1329.605</x:v>
      </x:c>
      <x:c r="I81" s="26" t="n">
        <x:v>1</x:v>
      </x:c>
    </x:row>
    <x:row r="82">
      <x:c r="A82" s="67" t="n">
        <x:v>121</x:v>
      </x:c>
      <x:c r="B82" s="68" t="n">
        <x:v>50</x:v>
      </x:c>
      <x:c r="C82" s="69" t="b">
        <x:v>1</x:v>
      </x:c>
      <x:c r="D82" s="68" t="n">
        <x:v>2</x:v>
      </x:c>
      <x:c r="E82" s="68" t="n">
        <x:v>4</x:v>
      </x:c>
      <x:c r="F82" s="68" t="n">
        <x:v>200</x:v>
      </x:c>
      <x:c r="G82" s="74" t="n">
        <x:v>235.877</x:v>
      </x:c>
      <x:c r="H82" s="74" t="n">
        <x:v>1179.385</x:v>
      </x:c>
      <x:c r="I82" s="26" t="n">
        <x:v>1</x:v>
      </x:c>
    </x:row>
    <x:row r="83">
      <x:c r="A83" s="67" t="n">
        <x:v>121</x:v>
      </x:c>
      <x:c r="B83" s="68" t="n">
        <x:v>50</x:v>
      </x:c>
      <x:c r="C83" s="69" t="b">
        <x:v>1</x:v>
      </x:c>
      <x:c r="D83" s="68" t="n">
        <x:v>3</x:v>
      </x:c>
      <x:c r="E83" s="68" t="n">
        <x:v>4</x:v>
      </x:c>
      <x:c r="F83" s="68" t="n">
        <x:v>200</x:v>
      </x:c>
      <x:c r="G83" s="74" t="n">
        <x:v>276.286</x:v>
      </x:c>
      <x:c r="H83" s="74" t="n">
        <x:v>1381.43</x:v>
      </x:c>
      <x:c r="I83" s="26" t="n">
        <x:v>1</x:v>
      </x:c>
    </x:row>
    <x:row r="84">
      <x:c r="A84" s="67" t="n">
        <x:v>121</x:v>
      </x:c>
      <x:c r="B84" s="68" t="n">
        <x:v>50</x:v>
      </x:c>
      <x:c r="C84" s="69" t="b">
        <x:v>1</x:v>
      </x:c>
      <x:c r="D84" s="68" t="n">
        <x:v>4</x:v>
      </x:c>
      <x:c r="E84" s="68" t="n">
        <x:v>4</x:v>
      </x:c>
      <x:c r="F84" s="68" t="n">
        <x:v>200</x:v>
      </x:c>
      <x:c r="G84" s="74" t="n">
        <x:v>240.939</x:v>
      </x:c>
      <x:c r="H84" s="74" t="n">
        <x:v>1204.695</x:v>
      </x:c>
      <x:c r="I84" s="26" t="n">
        <x:v>1</x:v>
      </x:c>
    </x:row>
    <x:row r="85">
      <x:c r="A85" s="67" t="n">
        <x:v>121</x:v>
      </x:c>
      <x:c r="B85" s="68" t="n">
        <x:v>50</x:v>
      </x:c>
      <x:c r="C85" s="69" t="b">
        <x:v>1</x:v>
      </x:c>
      <x:c r="D85" s="68" t="n">
        <x:v>5</x:v>
      </x:c>
      <x:c r="E85" s="68" t="n">
        <x:v>4</x:v>
      </x:c>
      <x:c r="F85" s="68" t="n">
        <x:v>200</x:v>
      </x:c>
      <x:c r="G85" s="74" t="n">
        <x:v>249.671</x:v>
      </x:c>
      <x:c r="H85" s="74" t="n">
        <x:v>1248.355</x:v>
      </x:c>
      <x:c r="I85" s="26" t="n">
        <x:v>1</x:v>
      </x:c>
    </x:row>
    <x:row r="86">
      <x:c r="A86" s="67" t="n">
        <x:v>121</x:v>
      </x:c>
      <x:c r="B86" s="68" t="n">
        <x:v>50</x:v>
      </x:c>
      <x:c r="C86" s="69" t="b">
        <x:v>1</x:v>
      </x:c>
      <x:c r="D86" s="68" t="n">
        <x:v>6</x:v>
      </x:c>
      <x:c r="E86" s="68" t="n">
        <x:v>4</x:v>
      </x:c>
      <x:c r="F86" s="68" t="n">
        <x:v>200</x:v>
      </x:c>
      <x:c r="G86" s="74" t="n">
        <x:v>272.078</x:v>
      </x:c>
      <x:c r="H86" s="74" t="n">
        <x:v>1360.39</x:v>
      </x:c>
      <x:c r="I86" s="26" t="n">
        <x:v>1</x:v>
      </x:c>
    </x:row>
    <x:row r="87">
      <x:c r="A87" s="67" t="n">
        <x:v>121</x:v>
      </x:c>
      <x:c r="B87" s="68" t="n">
        <x:v>50</x:v>
      </x:c>
      <x:c r="C87" s="69" t="b">
        <x:v>1</x:v>
      </x:c>
      <x:c r="D87" s="68" t="n">
        <x:v>7</x:v>
      </x:c>
      <x:c r="E87" s="68" t="n">
        <x:v>4</x:v>
      </x:c>
      <x:c r="F87" s="68" t="n">
        <x:v>200</x:v>
      </x:c>
      <x:c r="G87" s="74" t="n">
        <x:v>254.015</x:v>
      </x:c>
      <x:c r="H87" s="74" t="n">
        <x:v>1270.075</x:v>
      </x:c>
      <x:c r="I87" s="26" t="n">
        <x:v>1</x:v>
      </x:c>
    </x:row>
    <x:row r="88">
      <x:c r="A88" s="67" t="n">
        <x:v>364</x:v>
      </x:c>
      <x:c r="B88" s="68" t="n">
        <x:v>1</x:v>
      </x:c>
      <x:c r="C88" s="69" t="b">
        <x:v>0</x:v>
      </x:c>
      <x:c r="D88" s="68" t="n">
        <x:v>1</x:v>
      </x:c>
      <x:c r="E88" s="68" t="n">
        <x:v>82</x:v>
      </x:c>
      <x:c r="F88" s="68" t="n">
        <x:v>82</x:v>
      </x:c>
      <x:c r="G88" s="74" t="n">
        <x:v>1270.082</x:v>
      </x:c>
      <x:c r="H88" s="74" t="n">
        <x:v>15488.8049</x:v>
      </x:c>
      <x:c r="I88" s="26" t="n">
        <x:v>1</x:v>
      </x:c>
    </x:row>
    <x:row r="89">
      <x:c r="A89" s="67" t="n">
        <x:v>364</x:v>
      </x:c>
      <x:c r="B89" s="68" t="n">
        <x:v>1</x:v>
      </x:c>
      <x:c r="C89" s="69" t="b">
        <x:v>0</x:v>
      </x:c>
      <x:c r="D89" s="68" t="n">
        <x:v>2</x:v>
      </x:c>
      <x:c r="E89" s="68" t="n">
        <x:v>82</x:v>
      </x:c>
      <x:c r="F89" s="68" t="n">
        <x:v>82</x:v>
      </x:c>
      <x:c r="G89" s="74" t="n">
        <x:v>1389.619</x:v>
      </x:c>
      <x:c r="H89" s="74" t="n">
        <x:v>16946.5732</x:v>
      </x:c>
      <x:c r="I89" s="26" t="n">
        <x:v>1</x:v>
      </x:c>
    </x:row>
    <x:row r="90">
      <x:c r="A90" s="67" t="n">
        <x:v>364</x:v>
      </x:c>
      <x:c r="B90" s="68" t="n">
        <x:v>1</x:v>
      </x:c>
      <x:c r="C90" s="69" t="b">
        <x:v>0</x:v>
      </x:c>
      <x:c r="D90" s="68" t="n">
        <x:v>3</x:v>
      </x:c>
      <x:c r="E90" s="68" t="n">
        <x:v>82</x:v>
      </x:c>
      <x:c r="F90" s="68" t="n">
        <x:v>82</x:v>
      </x:c>
      <x:c r="G90" s="74" t="n">
        <x:v>1353.167</x:v>
      </x:c>
      <x:c r="H90" s="74" t="n">
        <x:v>16502.0366</x:v>
      </x:c>
      <x:c r="I90" s="26" t="n">
        <x:v>1</x:v>
      </x:c>
    </x:row>
    <x:row r="91">
      <x:c r="A91" s="67" t="n">
        <x:v>364</x:v>
      </x:c>
      <x:c r="B91" s="68" t="n">
        <x:v>1</x:v>
      </x:c>
      <x:c r="C91" s="69" t="b">
        <x:v>0</x:v>
      </x:c>
      <x:c r="D91" s="68" t="n">
        <x:v>4</x:v>
      </x:c>
      <x:c r="E91" s="68" t="n">
        <x:v>82</x:v>
      </x:c>
      <x:c r="F91" s="68" t="n">
        <x:v>82</x:v>
      </x:c>
      <x:c r="G91" s="74" t="n">
        <x:v>1295.643</x:v>
      </x:c>
      <x:c r="H91" s="74" t="n">
        <x:v>15800.5244</x:v>
      </x:c>
      <x:c r="I91" s="26" t="n">
        <x:v>1</x:v>
      </x:c>
    </x:row>
    <x:row r="92">
      <x:c r="A92" s="67" t="n">
        <x:v>364</x:v>
      </x:c>
      <x:c r="B92" s="68" t="n">
        <x:v>1</x:v>
      </x:c>
      <x:c r="C92" s="69" t="b">
        <x:v>0</x:v>
      </x:c>
      <x:c r="D92" s="68" t="n">
        <x:v>5</x:v>
      </x:c>
      <x:c r="E92" s="68" t="n">
        <x:v>82</x:v>
      </x:c>
      <x:c r="F92" s="68" t="n">
        <x:v>82</x:v>
      </x:c>
      <x:c r="G92" s="74" t="n">
        <x:v>1346.683</x:v>
      </x:c>
      <x:c r="H92" s="74" t="n">
        <x:v>16422.9634</x:v>
      </x:c>
      <x:c r="I92" s="26" t="n">
        <x:v>1</x:v>
      </x:c>
    </x:row>
    <x:row r="93">
      <x:c r="A93" s="67" t="n">
        <x:v>364</x:v>
      </x:c>
      <x:c r="B93" s="68" t="n">
        <x:v>1</x:v>
      </x:c>
      <x:c r="C93" s="69" t="b">
        <x:v>0</x:v>
      </x:c>
      <x:c r="D93" s="68" t="n">
        <x:v>6</x:v>
      </x:c>
      <x:c r="E93" s="68" t="n">
        <x:v>82</x:v>
      </x:c>
      <x:c r="F93" s="68" t="n">
        <x:v>82</x:v>
      </x:c>
      <x:c r="G93" s="74" t="n">
        <x:v>1309.034</x:v>
      </x:c>
      <x:c r="H93" s="74" t="n">
        <x:v>15963.8293</x:v>
      </x:c>
      <x:c r="I93" s="26" t="n">
        <x:v>1</x:v>
      </x:c>
    </x:row>
    <x:row r="94">
      <x:c r="A94" s="67" t="n">
        <x:v>364</x:v>
      </x:c>
      <x:c r="B94" s="68" t="n">
        <x:v>1</x:v>
      </x:c>
      <x:c r="C94" s="69" t="b">
        <x:v>0</x:v>
      </x:c>
      <x:c r="D94" s="68" t="n">
        <x:v>7</x:v>
      </x:c>
      <x:c r="E94" s="68" t="n">
        <x:v>82</x:v>
      </x:c>
      <x:c r="F94" s="68" t="n">
        <x:v>82</x:v>
      </x:c>
      <x:c r="G94" s="74" t="n">
        <x:v>1292.063</x:v>
      </x:c>
      <x:c r="H94" s="74" t="n">
        <x:v>15756.8659</x:v>
      </x:c>
      <x:c r="I94" s="26" t="n">
        <x:v>1</x:v>
      </x:c>
    </x:row>
    <x:row r="95">
      <x:c r="A95" s="67" t="n">
        <x:v>364</x:v>
      </x:c>
      <x:c r="B95" s="68" t="n">
        <x:v>1</x:v>
      </x:c>
      <x:c r="C95" s="69" t="b">
        <x:v>1</x:v>
      </x:c>
      <x:c r="D95" s="68" t="n">
        <x:v>1</x:v>
      </x:c>
      <x:c r="E95" s="68" t="n">
        <x:v>82</x:v>
      </x:c>
      <x:c r="F95" s="68" t="n">
        <x:v>82</x:v>
      </x:c>
      <x:c r="G95" s="74" t="n">
        <x:v>284.693</x:v>
      </x:c>
      <x:c r="H95" s="74" t="n">
        <x:v>3471.8659</x:v>
      </x:c>
      <x:c r="I95" s="26" t="n">
        <x:v>1</x:v>
      </x:c>
    </x:row>
    <x:row r="96">
      <x:c r="A96" s="67" t="n">
        <x:v>364</x:v>
      </x:c>
      <x:c r="B96" s="68" t="n">
        <x:v>1</x:v>
      </x:c>
      <x:c r="C96" s="69" t="b">
        <x:v>1</x:v>
      </x:c>
      <x:c r="D96" s="68" t="n">
        <x:v>2</x:v>
      </x:c>
      <x:c r="E96" s="68" t="n">
        <x:v>82</x:v>
      </x:c>
      <x:c r="F96" s="68" t="n">
        <x:v>82</x:v>
      </x:c>
      <x:c r="G96" s="74" t="n">
        <x:v>307.638</x:v>
      </x:c>
      <x:c r="H96" s="74" t="n">
        <x:v>3751.6829</x:v>
      </x:c>
      <x:c r="I96" s="26" t="n">
        <x:v>1</x:v>
      </x:c>
    </x:row>
    <x:row r="97">
      <x:c r="A97" s="67" t="n">
        <x:v>364</x:v>
      </x:c>
      <x:c r="B97" s="68" t="n">
        <x:v>1</x:v>
      </x:c>
      <x:c r="C97" s="69" t="b">
        <x:v>1</x:v>
      </x:c>
      <x:c r="D97" s="68" t="n">
        <x:v>3</x:v>
      </x:c>
      <x:c r="E97" s="68" t="n">
        <x:v>82</x:v>
      </x:c>
      <x:c r="F97" s="68" t="n">
        <x:v>82</x:v>
      </x:c>
      <x:c r="G97" s="74" t="n">
        <x:v>305.631</x:v>
      </x:c>
      <x:c r="H97" s="74" t="n">
        <x:v>3727.2073</x:v>
      </x:c>
      <x:c r="I97" s="26" t="n">
        <x:v>1</x:v>
      </x:c>
    </x:row>
    <x:row r="98">
      <x:c r="A98" s="67" t="n">
        <x:v>364</x:v>
      </x:c>
      <x:c r="B98" s="68" t="n">
        <x:v>1</x:v>
      </x:c>
      <x:c r="C98" s="69" t="b">
        <x:v>1</x:v>
      </x:c>
      <x:c r="D98" s="68" t="n">
        <x:v>4</x:v>
      </x:c>
      <x:c r="E98" s="68" t="n">
        <x:v>82</x:v>
      </x:c>
      <x:c r="F98" s="68" t="n">
        <x:v>82</x:v>
      </x:c>
      <x:c r="G98" s="74" t="n">
        <x:v>326.02</x:v>
      </x:c>
      <x:c r="H98" s="74" t="n">
        <x:v>3975.8537</x:v>
      </x:c>
      <x:c r="I98" s="26" t="n">
        <x:v>1</x:v>
      </x:c>
    </x:row>
    <x:row r="99">
      <x:c r="A99" s="67" t="n">
        <x:v>364</x:v>
      </x:c>
      <x:c r="B99" s="68" t="n">
        <x:v>1</x:v>
      </x:c>
      <x:c r="C99" s="69" t="b">
        <x:v>1</x:v>
      </x:c>
      <x:c r="D99" s="68" t="n">
        <x:v>5</x:v>
      </x:c>
      <x:c r="E99" s="68" t="n">
        <x:v>82</x:v>
      </x:c>
      <x:c r="F99" s="68" t="n">
        <x:v>82</x:v>
      </x:c>
      <x:c r="G99" s="74" t="n">
        <x:v>343.638</x:v>
      </x:c>
      <x:c r="H99" s="74" t="n">
        <x:v>4190.7073</x:v>
      </x:c>
      <x:c r="I99" s="26" t="n">
        <x:v>1</x:v>
      </x:c>
    </x:row>
    <x:row r="100">
      <x:c r="A100" s="67" t="n">
        <x:v>364</x:v>
      </x:c>
      <x:c r="B100" s="68" t="n">
        <x:v>1</x:v>
      </x:c>
      <x:c r="C100" s="69" t="b">
        <x:v>1</x:v>
      </x:c>
      <x:c r="D100" s="68" t="n">
        <x:v>6</x:v>
      </x:c>
      <x:c r="E100" s="68" t="n">
        <x:v>82</x:v>
      </x:c>
      <x:c r="F100" s="68" t="n">
        <x:v>82</x:v>
      </x:c>
      <x:c r="G100" s="74" t="n">
        <x:v>292.909</x:v>
      </x:c>
      <x:c r="H100" s="74" t="n">
        <x:v>3572.061</x:v>
      </x:c>
      <x:c r="I100" s="26" t="n">
        <x:v>1</x:v>
      </x:c>
    </x:row>
    <x:row r="101">
      <x:c r="A101" s="67" t="n">
        <x:v>364</x:v>
      </x:c>
      <x:c r="B101" s="68" t="n">
        <x:v>1</x:v>
      </x:c>
      <x:c r="C101" s="69" t="b">
        <x:v>1</x:v>
      </x:c>
      <x:c r="D101" s="68" t="n">
        <x:v>7</x:v>
      </x:c>
      <x:c r="E101" s="68" t="n">
        <x:v>82</x:v>
      </x:c>
      <x:c r="F101" s="68" t="n">
        <x:v>82</x:v>
      </x:c>
      <x:c r="G101" s="74" t="n">
        <x:v>291.721</x:v>
      </x:c>
      <x:c r="H101" s="74" t="n">
        <x:v>3557.5732</x:v>
      </x:c>
      <x:c r="I101" s="26" t="n">
        <x:v>1</x:v>
      </x:c>
    </x:row>
    <x:row r="102">
      <x:c r="A102" s="67" t="n">
        <x:v>364</x:v>
      </x:c>
      <x:c r="B102" s="68" t="n">
        <x:v>10</x:v>
      </x:c>
      <x:c r="C102" s="69" t="b">
        <x:v>0</x:v>
      </x:c>
      <x:c r="D102" s="68" t="n">
        <x:v>1</x:v>
      </x:c>
      <x:c r="E102" s="68" t="n">
        <x:v>8</x:v>
      </x:c>
      <x:c r="F102" s="68" t="n">
        <x:v>80</x:v>
      </x:c>
      <x:c r="G102" s="74" t="n">
        <x:v>1265.316</x:v>
      </x:c>
      <x:c r="H102" s="74" t="n">
        <x:v>15816.45</x:v>
      </x:c>
      <x:c r="I102" s="26" t="n">
        <x:v>1</x:v>
      </x:c>
    </x:row>
    <x:row r="103">
      <x:c r="A103" s="67" t="n">
        <x:v>364</x:v>
      </x:c>
      <x:c r="B103" s="68" t="n">
        <x:v>10</x:v>
      </x:c>
      <x:c r="C103" s="69" t="b">
        <x:v>0</x:v>
      </x:c>
      <x:c r="D103" s="68" t="n">
        <x:v>2</x:v>
      </x:c>
      <x:c r="E103" s="68" t="n">
        <x:v>8</x:v>
      </x:c>
      <x:c r="F103" s="68" t="n">
        <x:v>80</x:v>
      </x:c>
      <x:c r="G103" s="74" t="n">
        <x:v>1226.008</x:v>
      </x:c>
      <x:c r="H103" s="74" t="n">
        <x:v>15325.1</x:v>
      </x:c>
      <x:c r="I103" s="26" t="n">
        <x:v>1</x:v>
      </x:c>
    </x:row>
    <x:row r="104">
      <x:c r="A104" s="67" t="n">
        <x:v>364</x:v>
      </x:c>
      <x:c r="B104" s="68" t="n">
        <x:v>10</x:v>
      </x:c>
      <x:c r="C104" s="69" t="b">
        <x:v>0</x:v>
      </x:c>
      <x:c r="D104" s="68" t="n">
        <x:v>3</x:v>
      </x:c>
      <x:c r="E104" s="68" t="n">
        <x:v>8</x:v>
      </x:c>
      <x:c r="F104" s="68" t="n">
        <x:v>80</x:v>
      </x:c>
      <x:c r="G104" s="74" t="n">
        <x:v>1275.571</x:v>
      </x:c>
      <x:c r="H104" s="74" t="n">
        <x:v>15944.6375</x:v>
      </x:c>
      <x:c r="I104" s="26" t="n">
        <x:v>1</x:v>
      </x:c>
    </x:row>
    <x:row r="105">
      <x:c r="A105" s="67" t="n">
        <x:v>364</x:v>
      </x:c>
      <x:c r="B105" s="68" t="n">
        <x:v>10</x:v>
      </x:c>
      <x:c r="C105" s="69" t="b">
        <x:v>0</x:v>
      </x:c>
      <x:c r="D105" s="68" t="n">
        <x:v>4</x:v>
      </x:c>
      <x:c r="E105" s="68" t="n">
        <x:v>8</x:v>
      </x:c>
      <x:c r="F105" s="68" t="n">
        <x:v>80</x:v>
      </x:c>
      <x:c r="G105" s="74" t="n">
        <x:v>1274.145</x:v>
      </x:c>
      <x:c r="H105" s="74" t="n">
        <x:v>15926.8125</x:v>
      </x:c>
      <x:c r="I105" s="26" t="n">
        <x:v>1</x:v>
      </x:c>
    </x:row>
    <x:row r="106">
      <x:c r="A106" s="67" t="n">
        <x:v>364</x:v>
      </x:c>
      <x:c r="B106" s="68" t="n">
        <x:v>10</x:v>
      </x:c>
      <x:c r="C106" s="69" t="b">
        <x:v>0</x:v>
      </x:c>
      <x:c r="D106" s="68" t="n">
        <x:v>5</x:v>
      </x:c>
      <x:c r="E106" s="68" t="n">
        <x:v>8</x:v>
      </x:c>
      <x:c r="F106" s="68" t="n">
        <x:v>80</x:v>
      </x:c>
      <x:c r="G106" s="74" t="n">
        <x:v>1308.391</x:v>
      </x:c>
      <x:c r="H106" s="74" t="n">
        <x:v>16354.8875</x:v>
      </x:c>
      <x:c r="I106" s="26" t="n">
        <x:v>1</x:v>
      </x:c>
    </x:row>
    <x:row r="107">
      <x:c r="A107" s="67" t="n">
        <x:v>364</x:v>
      </x:c>
      <x:c r="B107" s="68" t="n">
        <x:v>10</x:v>
      </x:c>
      <x:c r="C107" s="69" t="b">
        <x:v>0</x:v>
      </x:c>
      <x:c r="D107" s="68" t="n">
        <x:v>6</x:v>
      </x:c>
      <x:c r="E107" s="68" t="n">
        <x:v>8</x:v>
      </x:c>
      <x:c r="F107" s="68" t="n">
        <x:v>80</x:v>
      </x:c>
      <x:c r="G107" s="74" t="n">
        <x:v>1324.947</x:v>
      </x:c>
      <x:c r="H107" s="74" t="n">
        <x:v>16561.8375</x:v>
      </x:c>
      <x:c r="I107" s="26" t="n">
        <x:v>1</x:v>
      </x:c>
    </x:row>
    <x:row r="108">
      <x:c r="A108" s="67" t="n">
        <x:v>364</x:v>
      </x:c>
      <x:c r="B108" s="68" t="n">
        <x:v>10</x:v>
      </x:c>
      <x:c r="C108" s="69" t="b">
        <x:v>0</x:v>
      </x:c>
      <x:c r="D108" s="68" t="n">
        <x:v>7</x:v>
      </x:c>
      <x:c r="E108" s="68" t="n">
        <x:v>8</x:v>
      </x:c>
      <x:c r="F108" s="68" t="n">
        <x:v>80</x:v>
      </x:c>
      <x:c r="G108" s="74" t="n">
        <x:v>1212.406</x:v>
      </x:c>
      <x:c r="H108" s="74" t="n">
        <x:v>15155.075</x:v>
      </x:c>
      <x:c r="I108" s="26" t="n">
        <x:v>1</x:v>
      </x:c>
    </x:row>
    <x:row r="109">
      <x:c r="A109" s="67" t="n">
        <x:v>364</x:v>
      </x:c>
      <x:c r="B109" s="68" t="n">
        <x:v>10</x:v>
      </x:c>
      <x:c r="C109" s="69" t="b">
        <x:v>1</x:v>
      </x:c>
      <x:c r="D109" s="68" t="n">
        <x:v>1</x:v>
      </x:c>
      <x:c r="E109" s="68" t="n">
        <x:v>8</x:v>
      </x:c>
      <x:c r="F109" s="68" t="n">
        <x:v>80</x:v>
      </x:c>
      <x:c r="G109" s="74" t="n">
        <x:v>332.415</x:v>
      </x:c>
      <x:c r="H109" s="74" t="n">
        <x:v>4155.1875</x:v>
      </x:c>
      <x:c r="I109" s="26" t="n">
        <x:v>1</x:v>
      </x:c>
    </x:row>
    <x:row r="110">
      <x:c r="A110" s="67" t="n">
        <x:v>364</x:v>
      </x:c>
      <x:c r="B110" s="68" t="n">
        <x:v>10</x:v>
      </x:c>
      <x:c r="C110" s="69" t="b">
        <x:v>1</x:v>
      </x:c>
      <x:c r="D110" s="68" t="n">
        <x:v>2</x:v>
      </x:c>
      <x:c r="E110" s="68" t="n">
        <x:v>8</x:v>
      </x:c>
      <x:c r="F110" s="68" t="n">
        <x:v>80</x:v>
      </x:c>
      <x:c r="G110" s="74" t="n">
        <x:v>302.754</x:v>
      </x:c>
      <x:c r="H110" s="74" t="n">
        <x:v>3784.425</x:v>
      </x:c>
      <x:c r="I110" s="26" t="n">
        <x:v>1</x:v>
      </x:c>
    </x:row>
    <x:row r="111">
      <x:c r="A111" s="67" t="n">
        <x:v>364</x:v>
      </x:c>
      <x:c r="B111" s="68" t="n">
        <x:v>10</x:v>
      </x:c>
      <x:c r="C111" s="69" t="b">
        <x:v>1</x:v>
      </x:c>
      <x:c r="D111" s="68" t="n">
        <x:v>3</x:v>
      </x:c>
      <x:c r="E111" s="68" t="n">
        <x:v>8</x:v>
      </x:c>
      <x:c r="F111" s="68" t="n">
        <x:v>80</x:v>
      </x:c>
      <x:c r="G111" s="74" t="n">
        <x:v>259.708</x:v>
      </x:c>
      <x:c r="H111" s="74" t="n">
        <x:v>3246.35</x:v>
      </x:c>
      <x:c r="I111" s="26" t="n">
        <x:v>1</x:v>
      </x:c>
    </x:row>
    <x:row r="112">
      <x:c r="A112" s="67" t="n">
        <x:v>364</x:v>
      </x:c>
      <x:c r="B112" s="68" t="n">
        <x:v>10</x:v>
      </x:c>
      <x:c r="C112" s="69" t="b">
        <x:v>1</x:v>
      </x:c>
      <x:c r="D112" s="68" t="n">
        <x:v>4</x:v>
      </x:c>
      <x:c r="E112" s="68" t="n">
        <x:v>8</x:v>
      </x:c>
      <x:c r="F112" s="68" t="n">
        <x:v>80</x:v>
      </x:c>
      <x:c r="G112" s="74" t="n">
        <x:v>261.347</x:v>
      </x:c>
      <x:c r="H112" s="74" t="n">
        <x:v>3266.8375</x:v>
      </x:c>
      <x:c r="I112" s="26" t="n">
        <x:v>1</x:v>
      </x:c>
    </x:row>
    <x:row r="113">
      <x:c r="A113" s="67" t="n">
        <x:v>364</x:v>
      </x:c>
      <x:c r="B113" s="68" t="n">
        <x:v>10</x:v>
      </x:c>
      <x:c r="C113" s="69" t="b">
        <x:v>1</x:v>
      </x:c>
      <x:c r="D113" s="68" t="n">
        <x:v>5</x:v>
      </x:c>
      <x:c r="E113" s="68" t="n">
        <x:v>8</x:v>
      </x:c>
      <x:c r="F113" s="68" t="n">
        <x:v>80</x:v>
      </x:c>
      <x:c r="G113" s="74" t="n">
        <x:v>290.837</x:v>
      </x:c>
      <x:c r="H113" s="74" t="n">
        <x:v>3635.4625</x:v>
      </x:c>
      <x:c r="I113" s="26" t="n">
        <x:v>1</x:v>
      </x:c>
    </x:row>
    <x:row r="114">
      <x:c r="A114" s="67" t="n">
        <x:v>364</x:v>
      </x:c>
      <x:c r="B114" s="68" t="n">
        <x:v>10</x:v>
      </x:c>
      <x:c r="C114" s="69" t="b">
        <x:v>1</x:v>
      </x:c>
      <x:c r="D114" s="68" t="n">
        <x:v>6</x:v>
      </x:c>
      <x:c r="E114" s="68" t="n">
        <x:v>8</x:v>
      </x:c>
      <x:c r="F114" s="68" t="n">
        <x:v>80</x:v>
      </x:c>
      <x:c r="G114" s="74" t="n">
        <x:v>245.873</x:v>
      </x:c>
      <x:c r="H114" s="74" t="n">
        <x:v>3073.4125</x:v>
      </x:c>
      <x:c r="I114" s="26" t="n">
        <x:v>1</x:v>
      </x:c>
    </x:row>
    <x:row r="115">
      <x:c r="A115" s="67" t="n">
        <x:v>364</x:v>
      </x:c>
      <x:c r="B115" s="68" t="n">
        <x:v>10</x:v>
      </x:c>
      <x:c r="C115" s="69" t="b">
        <x:v>1</x:v>
      </x:c>
      <x:c r="D115" s="68" t="n">
        <x:v>7</x:v>
      </x:c>
      <x:c r="E115" s="68" t="n">
        <x:v>8</x:v>
      </x:c>
      <x:c r="F115" s="68" t="n">
        <x:v>80</x:v>
      </x:c>
      <x:c r="G115" s="74" t="n">
        <x:v>311.823</x:v>
      </x:c>
      <x:c r="H115" s="74" t="n">
        <x:v>3897.7875</x:v>
      </x:c>
      <x:c r="I115" s="26" t="n">
        <x:v>1</x:v>
      </x:c>
    </x:row>
    <x:row r="116">
      <x:c r="A116" s="67" t="n">
        <x:v>364</x:v>
      </x:c>
      <x:c r="B116" s="68" t="n">
        <x:v>50</x:v>
      </x:c>
      <x:c r="C116" s="69" t="b">
        <x:v>0</x:v>
      </x:c>
      <x:c r="D116" s="68" t="n">
        <x:v>1</x:v>
      </x:c>
      <x:c r="E116" s="68" t="n">
        <x:v>1</x:v>
      </x:c>
      <x:c r="F116" s="68" t="n">
        <x:v>50</x:v>
      </x:c>
      <x:c r="G116" s="74" t="n">
        <x:v>814.223</x:v>
      </x:c>
      <x:c r="H116" s="74" t="n">
        <x:v>16284.46</x:v>
      </x:c>
      <x:c r="I116" s="26" t="n">
        <x:v>1</x:v>
      </x:c>
    </x:row>
    <x:row r="117">
      <x:c r="A117" s="67" t="n">
        <x:v>364</x:v>
      </x:c>
      <x:c r="B117" s="68" t="n">
        <x:v>50</x:v>
      </x:c>
      <x:c r="C117" s="69" t="b">
        <x:v>0</x:v>
      </x:c>
      <x:c r="D117" s="68" t="n">
        <x:v>2</x:v>
      </x:c>
      <x:c r="E117" s="68" t="n">
        <x:v>1</x:v>
      </x:c>
      <x:c r="F117" s="68" t="n">
        <x:v>50</x:v>
      </x:c>
      <x:c r="G117" s="74" t="n">
        <x:v>806.381</x:v>
      </x:c>
      <x:c r="H117" s="74" t="n">
        <x:v>16127.62</x:v>
      </x:c>
      <x:c r="I117" s="26" t="n">
        <x:v>1</x:v>
      </x:c>
    </x:row>
    <x:row r="118">
      <x:c r="A118" s="67" t="n">
        <x:v>364</x:v>
      </x:c>
      <x:c r="B118" s="68" t="n">
        <x:v>50</x:v>
      </x:c>
      <x:c r="C118" s="69" t="b">
        <x:v>0</x:v>
      </x:c>
      <x:c r="D118" s="68" t="n">
        <x:v>3</x:v>
      </x:c>
      <x:c r="E118" s="68" t="n">
        <x:v>1</x:v>
      </x:c>
      <x:c r="F118" s="68" t="n">
        <x:v>50</x:v>
      </x:c>
      <x:c r="G118" s="74" t="n">
        <x:v>751.165</x:v>
      </x:c>
      <x:c r="H118" s="74" t="n">
        <x:v>15023.3</x:v>
      </x:c>
      <x:c r="I118" s="26" t="n">
        <x:v>1</x:v>
      </x:c>
    </x:row>
    <x:row r="119">
      <x:c r="A119" s="67" t="n">
        <x:v>364</x:v>
      </x:c>
      <x:c r="B119" s="68" t="n">
        <x:v>50</x:v>
      </x:c>
      <x:c r="C119" s="69" t="b">
        <x:v>0</x:v>
      </x:c>
      <x:c r="D119" s="68" t="n">
        <x:v>4</x:v>
      </x:c>
      <x:c r="E119" s="68" t="n">
        <x:v>1</x:v>
      </x:c>
      <x:c r="F119" s="68" t="n">
        <x:v>50</x:v>
      </x:c>
      <x:c r="G119" s="74" t="n">
        <x:v>765.812</x:v>
      </x:c>
      <x:c r="H119" s="74" t="n">
        <x:v>15316.24</x:v>
      </x:c>
      <x:c r="I119" s="26" t="n">
        <x:v>1</x:v>
      </x:c>
    </x:row>
    <x:row r="120">
      <x:c r="A120" s="67" t="n">
        <x:v>364</x:v>
      </x:c>
      <x:c r="B120" s="68" t="n">
        <x:v>50</x:v>
      </x:c>
      <x:c r="C120" s="69" t="b">
        <x:v>0</x:v>
      </x:c>
      <x:c r="D120" s="68" t="n">
        <x:v>5</x:v>
      </x:c>
      <x:c r="E120" s="68" t="n">
        <x:v>1</x:v>
      </x:c>
      <x:c r="F120" s="68" t="n">
        <x:v>50</x:v>
      </x:c>
      <x:c r="G120" s="74" t="n">
        <x:v>765.927</x:v>
      </x:c>
      <x:c r="H120" s="74" t="n">
        <x:v>15318.54</x:v>
      </x:c>
      <x:c r="I120" s="26" t="n">
        <x:v>1</x:v>
      </x:c>
    </x:row>
    <x:row r="121">
      <x:c r="A121" s="67" t="n">
        <x:v>364</x:v>
      </x:c>
      <x:c r="B121" s="68" t="n">
        <x:v>50</x:v>
      </x:c>
      <x:c r="C121" s="69" t="b">
        <x:v>0</x:v>
      </x:c>
      <x:c r="D121" s="68" t="n">
        <x:v>6</x:v>
      </x:c>
      <x:c r="E121" s="68" t="n">
        <x:v>1</x:v>
      </x:c>
      <x:c r="F121" s="68" t="n">
        <x:v>50</x:v>
      </x:c>
      <x:c r="G121" s="74" t="n">
        <x:v>769.668</x:v>
      </x:c>
      <x:c r="H121" s="74" t="n">
        <x:v>15393.36</x:v>
      </x:c>
      <x:c r="I121" s="26" t="n">
        <x:v>1</x:v>
      </x:c>
    </x:row>
    <x:row r="122">
      <x:c r="A122" s="67" t="n">
        <x:v>364</x:v>
      </x:c>
      <x:c r="B122" s="68" t="n">
        <x:v>50</x:v>
      </x:c>
      <x:c r="C122" s="69" t="b">
        <x:v>0</x:v>
      </x:c>
      <x:c r="D122" s="68" t="n">
        <x:v>7</x:v>
      </x:c>
      <x:c r="E122" s="68" t="n">
        <x:v>1</x:v>
      </x:c>
      <x:c r="F122" s="68" t="n">
        <x:v>50</x:v>
      </x:c>
      <x:c r="G122" s="74" t="n">
        <x:v>715.69</x:v>
      </x:c>
      <x:c r="H122" s="74" t="n">
        <x:v>14313.8</x:v>
      </x:c>
      <x:c r="I122" s="26" t="n">
        <x:v>1</x:v>
      </x:c>
    </x:row>
    <x:row r="123">
      <x:c r="A123" s="67" t="n">
        <x:v>364</x:v>
      </x:c>
      <x:c r="B123" s="68" t="n">
        <x:v>50</x:v>
      </x:c>
      <x:c r="C123" s="69" t="b">
        <x:v>1</x:v>
      </x:c>
      <x:c r="D123" s="68" t="n">
        <x:v>1</x:v>
      </x:c>
      <x:c r="E123" s="68" t="n">
        <x:v>1</x:v>
      </x:c>
      <x:c r="F123" s="68" t="n">
        <x:v>50</x:v>
      </x:c>
      <x:c r="G123" s="74" t="n">
        <x:v>176.222</x:v>
      </x:c>
      <x:c r="H123" s="74" t="n">
        <x:v>3524.44</x:v>
      </x:c>
      <x:c r="I123" s="26" t="n">
        <x:v>1</x:v>
      </x:c>
    </x:row>
    <x:row r="124">
      <x:c r="A124" s="67" t="n">
        <x:v>364</x:v>
      </x:c>
      <x:c r="B124" s="68" t="n">
        <x:v>50</x:v>
      </x:c>
      <x:c r="C124" s="69" t="b">
        <x:v>1</x:v>
      </x:c>
      <x:c r="D124" s="68" t="n">
        <x:v>2</x:v>
      </x:c>
      <x:c r="E124" s="68" t="n">
        <x:v>1</x:v>
      </x:c>
      <x:c r="F124" s="68" t="n">
        <x:v>50</x:v>
      </x:c>
      <x:c r="G124" s="74" t="n">
        <x:v>170.995</x:v>
      </x:c>
      <x:c r="H124" s="74" t="n">
        <x:v>3419.9</x:v>
      </x:c>
      <x:c r="I124" s="26" t="n">
        <x:v>1</x:v>
      </x:c>
    </x:row>
    <x:row r="125">
      <x:c r="A125" s="67" t="n">
        <x:v>364</x:v>
      </x:c>
      <x:c r="B125" s="68" t="n">
        <x:v>50</x:v>
      </x:c>
      <x:c r="C125" s="69" t="b">
        <x:v>1</x:v>
      </x:c>
      <x:c r="D125" s="68" t="n">
        <x:v>3</x:v>
      </x:c>
      <x:c r="E125" s="68" t="n">
        <x:v>1</x:v>
      </x:c>
      <x:c r="F125" s="68" t="n">
        <x:v>50</x:v>
      </x:c>
      <x:c r="G125" s="74" t="n">
        <x:v>166.378</x:v>
      </x:c>
      <x:c r="H125" s="74" t="n">
        <x:v>3327.56</x:v>
      </x:c>
      <x:c r="I125" s="26" t="n">
        <x:v>1</x:v>
      </x:c>
    </x:row>
    <x:row r="126">
      <x:c r="A126" s="67" t="n">
        <x:v>364</x:v>
      </x:c>
      <x:c r="B126" s="68" t="n">
        <x:v>50</x:v>
      </x:c>
      <x:c r="C126" s="69" t="b">
        <x:v>1</x:v>
      </x:c>
      <x:c r="D126" s="68" t="n">
        <x:v>4</x:v>
      </x:c>
      <x:c r="E126" s="68" t="n">
        <x:v>1</x:v>
      </x:c>
      <x:c r="F126" s="68" t="n">
        <x:v>50</x:v>
      </x:c>
      <x:c r="G126" s="74" t="n">
        <x:v>158.588</x:v>
      </x:c>
      <x:c r="H126" s="74" t="n">
        <x:v>3171.76</x:v>
      </x:c>
      <x:c r="I126" s="26" t="n">
        <x:v>1</x:v>
      </x:c>
    </x:row>
    <x:row r="127">
      <x:c r="A127" s="67" t="n">
        <x:v>364</x:v>
      </x:c>
      <x:c r="B127" s="68" t="n">
        <x:v>50</x:v>
      </x:c>
      <x:c r="C127" s="69" t="b">
        <x:v>1</x:v>
      </x:c>
      <x:c r="D127" s="68" t="n">
        <x:v>5</x:v>
      </x:c>
      <x:c r="E127" s="68" t="n">
        <x:v>1</x:v>
      </x:c>
      <x:c r="F127" s="68" t="n">
        <x:v>50</x:v>
      </x:c>
      <x:c r="G127" s="74" t="n">
        <x:v>164.181</x:v>
      </x:c>
      <x:c r="H127" s="74" t="n">
        <x:v>3283.62</x:v>
      </x:c>
      <x:c r="I127" s="26" t="n">
        <x:v>1</x:v>
      </x:c>
    </x:row>
    <x:row r="128">
      <x:c r="A128" s="67" t="n">
        <x:v>364</x:v>
      </x:c>
      <x:c r="B128" s="68" t="n">
        <x:v>50</x:v>
      </x:c>
      <x:c r="C128" s="69" t="b">
        <x:v>1</x:v>
      </x:c>
      <x:c r="D128" s="68" t="n">
        <x:v>6</x:v>
      </x:c>
      <x:c r="E128" s="68" t="n">
        <x:v>1</x:v>
      </x:c>
      <x:c r="F128" s="68" t="n">
        <x:v>50</x:v>
      </x:c>
      <x:c r="G128" s="74" t="n">
        <x:v>183.91</x:v>
      </x:c>
      <x:c r="H128" s="74" t="n">
        <x:v>3678.2</x:v>
      </x:c>
      <x:c r="I128" s="26" t="n">
        <x:v>1</x:v>
      </x:c>
    </x:row>
    <x:row r="129">
      <x:c r="A129" s="70" t="n">
        <x:v>364</x:v>
      </x:c>
      <x:c r="B129" s="71" t="n">
        <x:v>50</x:v>
      </x:c>
      <x:c r="C129" s="72" t="b">
        <x:v>1</x:v>
      </x:c>
      <x:c r="D129" s="71" t="n">
        <x:v>7</x:v>
      </x:c>
      <x:c r="E129" s="71" t="n">
        <x:v>1</x:v>
      </x:c>
      <x:c r="F129" s="71" t="n">
        <x:v>50</x:v>
      </x:c>
      <x:c r="G129" s="75" t="n">
        <x:v>168.528</x:v>
      </x:c>
      <x:c r="H129" s="75" t="n">
        <x:v>3370.56</x:v>
      </x:c>
      <x:c r="I129" s="28" t="n">
        <x:v>1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Runtime Cache Comparison (Formula Driven)</x:v>
      </x:c>
      <x:c r="B1" s="3"/>
      <x:c r="C1" s="3"/>
      <x:c r="D1" s="3"/>
      <x:c r="E1" s="3"/>
      <x:c r="F1" s="3"/>
      <x:c r="G1" s="3"/>
      <x:c r="H1" s="3"/>
    </x:row>
    <x:row r="3">
      <x:c r="A3" s="9" t="str">
        <x:v>Tree nodes</x:v>
      </x:c>
      <x:c r="B3" s="9" t="str">
        <x:v>NPCs</x:v>
      </x:c>
      <x:c r="C3" s="9" t="str">
        <x:v>Uncached median us</x:v>
      </x:c>
      <x:c r="D3" s="9" t="str">
        <x:v>Cached median us</x:v>
      </x:c>
      <x:c r="E3" s="9" t="str">
        <x:v>Gain us</x:v>
      </x:c>
      <x:c r="F3" s="9" t="str">
        <x:v>Gain %</x:v>
      </x:c>
      <x:c r="G3" s="9" t="str">
        <x:v>All SUCCESS</x:v>
      </x:c>
      <x:c r="H3" s="9" t="str">
        <x:v>Samples</x:v>
      </x:c>
    </x:row>
    <x:row r="4">
      <x:c r="A4" s="23" t="n">
        <x:v>31</x:v>
      </x:c>
      <x:c r="B4" s="37" t="n">
        <x:v>1</x:v>
      </x:c>
      <x:c r="C4" s="76" t="n">
        <x:v>314.8335</x:v>
      </x:c>
      <x:c r="D4" s="76" t="n">
        <x:v>264.5222</x:v>
      </x:c>
      <x:c r="E4" s="76" t="n">
        <x:f>C4-D4</x:f>
        <x:v>50.31130000000002</x:v>
      </x:c>
      <x:c r="F4" s="79" t="n">
        <x:f>E4/C4</x:f>
        <x:v>0.1598028799349498</x:v>
      </x:c>
      <x:c r="G4" s="37" t="b">
        <x:f>COUNTIFS('Runtime Raw Data'!$A$4:$A$129,A4,'Runtime Raw Data'!$B$4:$B$129,B4,'Runtime Raw Data'!$I$4:$I$129,1)=14</x:f>
        <x:v>1</x:v>
      </x:c>
      <x:c r="H4" s="24" t="n">
        <x:f>COUNTIFS('Runtime Raw Data'!$A$4:$A$129,A4,'Runtime Raw Data'!$B$4:$B$129,B4)</x:f>
        <x:v>14</x:v>
      </x:c>
    </x:row>
    <x:row r="5">
      <x:c r="A5" s="25" t="n">
        <x:v>31</x:v>
      </x:c>
      <x:c r="B5" s="38" t="n">
        <x:v>10</x:v>
      </x:c>
      <x:c r="C5" s="77" t="n">
        <x:v>376.3135</x:v>
      </x:c>
      <x:c r="D5" s="77" t="n">
        <x:v>276.7406</x:v>
      </x:c>
      <x:c r="E5" s="77" t="n">
        <x:f>C5-D5</x:f>
        <x:v>99.5729</x:v>
      </x:c>
      <x:c r="F5" s="80" t="n">
        <x:f>E5/C5</x:f>
        <x:v>0.26460092449513506</x:v>
      </x:c>
      <x:c r="G5" s="38" t="b">
        <x:f>COUNTIFS('Runtime Raw Data'!$A$4:$A$129,A5,'Runtime Raw Data'!$B$4:$B$129,B5,'Runtime Raw Data'!$I$4:$I$129,1)=14</x:f>
        <x:v>1</x:v>
      </x:c>
      <x:c r="H5" s="26" t="n">
        <x:f>COUNTIFS('Runtime Raw Data'!$A$4:$A$129,A5,'Runtime Raw Data'!$B$4:$B$129,B5)</x:f>
        <x:v>14</x:v>
      </x:c>
    </x:row>
    <x:row r="6">
      <x:c r="A6" s="25" t="n">
        <x:v>31</x:v>
      </x:c>
      <x:c r="B6" s="38" t="n">
        <x:v>50</x:v>
      </x:c>
      <x:c r="C6" s="77" t="n">
        <x:v>372.5558</x:v>
      </x:c>
      <x:c r="D6" s="77" t="n">
        <x:v>294.0958</x:v>
      </x:c>
      <x:c r="E6" s="77" t="n">
        <x:f>C6-D6</x:f>
        <x:v>78.45999999999998</x:v>
      </x:c>
      <x:c r="F6" s="80" t="n">
        <x:f>E6/C6</x:f>
        <x:v>0.21059932498702202</x:v>
      </x:c>
      <x:c r="G6" s="38" t="b">
        <x:f>COUNTIFS('Runtime Raw Data'!$A$4:$A$129,A6,'Runtime Raw Data'!$B$4:$B$129,B6,'Runtime Raw Data'!$I$4:$I$129,1)=14</x:f>
        <x:v>1</x:v>
      </x:c>
      <x:c r="H6" s="26" t="n">
        <x:f>COUNTIFS('Runtime Raw Data'!$A$4:$A$129,A6,'Runtime Raw Data'!$B$4:$B$129,B6)</x:f>
        <x:v>14</x:v>
      </x:c>
    </x:row>
    <x:row r="7">
      <x:c r="A7" s="25" t="n">
        <x:v>121</x:v>
      </x:c>
      <x:c r="B7" s="38" t="n">
        <x:v>1</x:v>
      </x:c>
      <x:c r="C7" s="77" t="n">
        <x:v>2405.7287</x:v>
      </x:c>
      <x:c r="D7" s="77" t="n">
        <x:v>1140.1903</x:v>
      </x:c>
      <x:c r="E7" s="77" t="n">
        <x:f>C7-D7</x:f>
        <x:v>1265.5384000000001</x:v>
      </x:c>
      <x:c r="F7" s="80" t="n">
        <x:f>E7/C7</x:f>
        <x:v>0.5260520024556385</x:v>
      </x:c>
      <x:c r="G7" s="38" t="b">
        <x:f>COUNTIFS('Runtime Raw Data'!$A$4:$A$129,A7,'Runtime Raw Data'!$B$4:$B$129,B7,'Runtime Raw Data'!$I$4:$I$129,1)=14</x:f>
        <x:v>1</x:v>
      </x:c>
      <x:c r="H7" s="26" t="n">
        <x:f>COUNTIFS('Runtime Raw Data'!$A$4:$A$129,A7,'Runtime Raw Data'!$B$4:$B$129,B7)</x:f>
        <x:v>14</x:v>
      </x:c>
    </x:row>
    <x:row r="8">
      <x:c r="A8" s="25" t="n">
        <x:v>121</x:v>
      </x:c>
      <x:c r="B8" s="38" t="n">
        <x:v>10</x:v>
      </x:c>
      <x:c r="C8" s="77" t="n">
        <x:v>2429.3583</x:v>
      </x:c>
      <x:c r="D8" s="77" t="n">
        <x:v>1068.5</x:v>
      </x:c>
      <x:c r="E8" s="77" t="n">
        <x:f>C8-D8</x:f>
        <x:v>1360.8582999999999</x:v>
      </x:c>
      <x:c r="F8" s="80" t="n">
        <x:f>E8/C8</x:f>
        <x:v>0.5601719186502871</x:v>
      </x:c>
      <x:c r="G8" s="38" t="b">
        <x:f>COUNTIFS('Runtime Raw Data'!$A$4:$A$129,A8,'Runtime Raw Data'!$B$4:$B$129,B8,'Runtime Raw Data'!$I$4:$I$129,1)=14</x:f>
        <x:v>1</x:v>
      </x:c>
      <x:c r="H8" s="26" t="n">
        <x:f>COUNTIFS('Runtime Raw Data'!$A$4:$A$129,A8,'Runtime Raw Data'!$B$4:$B$129,B8)</x:f>
        <x:v>14</x:v>
      </x:c>
    </x:row>
    <x:row r="9">
      <x:c r="A9" s="25" t="n">
        <x:v>121</x:v>
      </x:c>
      <x:c r="B9" s="38" t="n">
        <x:v>50</x:v>
      </x:c>
      <x:c r="C9" s="77" t="n">
        <x:v>2687.255</x:v>
      </x:c>
      <x:c r="D9" s="77" t="n">
        <x:v>1270.075</x:v>
      </x:c>
      <x:c r="E9" s="77" t="n">
        <x:f>C9-D9</x:f>
        <x:v>1417.18</x:v>
      </x:c>
      <x:c r="F9" s="80" t="n">
        <x:f>E9/C9</x:f>
        <x:v>0.5273708672976699</x:v>
      </x:c>
      <x:c r="G9" s="38" t="b">
        <x:f>COUNTIFS('Runtime Raw Data'!$A$4:$A$129,A9,'Runtime Raw Data'!$B$4:$B$129,B9,'Runtime Raw Data'!$I$4:$I$129,1)=14</x:f>
        <x:v>1</x:v>
      </x:c>
      <x:c r="H9" s="26" t="n">
        <x:f>COUNTIFS('Runtime Raw Data'!$A$4:$A$129,A9,'Runtime Raw Data'!$B$4:$B$129,B9)</x:f>
        <x:v>14</x:v>
      </x:c>
    </x:row>
    <x:row r="10">
      <x:c r="A10" s="25" t="n">
        <x:v>364</x:v>
      </x:c>
      <x:c r="B10" s="38" t="n">
        <x:v>1</x:v>
      </x:c>
      <x:c r="C10" s="77" t="n">
        <x:v>15963.8293</x:v>
      </x:c>
      <x:c r="D10" s="77" t="n">
        <x:v>3727.2073</x:v>
      </x:c>
      <x:c r="E10" s="77" t="n">
        <x:f>C10-D10</x:f>
        <x:v>12236.622</x:v>
      </x:c>
      <x:c r="F10" s="80" t="n">
        <x:f>E10/C10</x:f>
        <x:v>0.7665217267137778</x:v>
      </x:c>
      <x:c r="G10" s="38" t="b">
        <x:f>COUNTIFS('Runtime Raw Data'!$A$4:$A$129,A10,'Runtime Raw Data'!$B$4:$B$129,B10,'Runtime Raw Data'!$I$4:$I$129,1)=14</x:f>
        <x:v>1</x:v>
      </x:c>
      <x:c r="H10" s="26" t="n">
        <x:f>COUNTIFS('Runtime Raw Data'!$A$4:$A$129,A10,'Runtime Raw Data'!$B$4:$B$129,B10)</x:f>
        <x:v>14</x:v>
      </x:c>
    </x:row>
    <x:row r="11">
      <x:c r="A11" s="25" t="n">
        <x:v>364</x:v>
      </x:c>
      <x:c r="B11" s="38" t="n">
        <x:v>10</x:v>
      </x:c>
      <x:c r="C11" s="77" t="n">
        <x:v>15926.8125</x:v>
      </x:c>
      <x:c r="D11" s="77" t="n">
        <x:v>3635.4625</x:v>
      </x:c>
      <x:c r="E11" s="77" t="n">
        <x:f>C11-D11</x:f>
        <x:v>12291.35</x:v>
      </x:c>
      <x:c r="F11" s="80" t="n">
        <x:f>E11/C11</x:f>
        <x:v>0.7717394802004481</x:v>
      </x:c>
      <x:c r="G11" s="38" t="b">
        <x:f>COUNTIFS('Runtime Raw Data'!$A$4:$A$129,A11,'Runtime Raw Data'!$B$4:$B$129,B11,'Runtime Raw Data'!$I$4:$I$129,1)=14</x:f>
        <x:v>1</x:v>
      </x:c>
      <x:c r="H11" s="26" t="n">
        <x:f>COUNTIFS('Runtime Raw Data'!$A$4:$A$129,A11,'Runtime Raw Data'!$B$4:$B$129,B11)</x:f>
        <x:v>14</x:v>
      </x:c>
    </x:row>
    <x:row r="12">
      <x:c r="A12" s="27" t="n">
        <x:v>364</x:v>
      </x:c>
      <x:c r="B12" s="39" t="n">
        <x:v>50</x:v>
      </x:c>
      <x:c r="C12" s="78" t="n">
        <x:v>15318.54</x:v>
      </x:c>
      <x:c r="D12" s="78" t="n">
        <x:v>3370.56</x:v>
      </x:c>
      <x:c r="E12" s="78" t="n">
        <x:f>C12-D12</x:f>
        <x:v>11947.980000000001</x:v>
      </x:c>
      <x:c r="F12" s="81" t="n">
        <x:f>E12/C12</x:f>
        <x:v>0.77996858708467</x:v>
      </x:c>
      <x:c r="G12" s="39" t="b">
        <x:f>COUNTIFS('Runtime Raw Data'!$A$4:$A$129,A12,'Runtime Raw Data'!$B$4:$B$129,B12,'Runtime Raw Data'!$I$4:$I$129,1)=14</x:f>
        <x:v>1</x:v>
      </x:c>
      <x:c r="H12" s="28" t="n">
        <x:f>COUNTIFS('Runtime Raw Data'!$A$4:$A$129,A12,'Runtime Raw Data'!$B$4:$B$129,B12)</x:f>
        <x:v>14</x:v>
      </x:c>
    </x:row>
    <x:row r="15">
      <x:c r="A15" s="43" t="str">
        <x:v>Medians in columns C-D are imported from the deterministic benchmark run; derived gain and quality-control columns are workbook formulas. Every scenario uses seven cached and seven uncached samples after warmup.</x:v>
      </x:c>
      <x:c r="B15" s="43"/>
      <x:c r="C15" s="43"/>
      <x:c r="D15" s="43"/>
      <x:c r="E15" s="43"/>
      <x:c r="F15" s="43"/>
      <x:c r="G15" s="43"/>
      <x:c r="H15" s="43"/>
    </x:row>
    <x:row r="16">
      <x:c r="A16" s="43"/>
      <x:c r="B16" s="43"/>
      <x:c r="C16" s="43"/>
      <x:c r="D16" s="43"/>
      <x:c r="E16" s="43"/>
      <x:c r="F16" s="43"/>
      <x:c r="G16" s="43"/>
      <x:c r="H16" s="43"/>
    </x:row>
    <x:row r="17">
      <x:c r="A17" s="43"/>
      <x:c r="B17" s="43"/>
      <x:c r="C17" s="43"/>
      <x:c r="D17" s="43"/>
      <x:c r="E17" s="43"/>
      <x:c r="F17" s="43"/>
      <x:c r="G17" s="43"/>
      <x:c r="H17" s="43"/>
    </x:row>
  </x:sheetData>
  <x:mergeCells>
    <x:mergeCell ref="A1:H1"/>
    <x:mergeCell ref="A15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30" customHeight="1">
      <x:c r="A1" s="3" t="str">
        <x:v>Independent Display Feature Switches</x:v>
      </x:c>
      <x:c r="B1" s="3"/>
      <x:c r="C1" s="3"/>
      <x:c r="D1" s="3"/>
      <x:c r="E1" s="3"/>
    </x:row>
    <x:row r="3">
      <x:c r="A3" s="9" t="str">
        <x:v>Key</x:v>
      </x:c>
      <x:c r="B3" s="9" t="str">
        <x:v>UI label</x:v>
      </x:c>
      <x:c r="C3" s="9" t="str">
        <x:v>Default</x:v>
      </x:c>
      <x:c r="D3" s="9" t="str">
        <x:v>Safe disable</x:v>
      </x:c>
      <x:c r="E3" s="9" t="str">
        <x:v>Purpose</x:v>
      </x:c>
    </x:row>
    <x:row r="4">
      <x:c r="A4" s="23" t="str">
        <x:v>fisheye</x:v>
      </x:c>
      <x:c r="B4" s="37" t="str">
        <x:v>Fisheye / Focus+Context</x:v>
      </x:c>
      <x:c r="C4" s="61" t="b">
        <x:v>1</x:v>
      </x:c>
      <x:c r="D4" s="37" t="str">
        <x:v>Resets transform</x:v>
      </x:c>
      <x:c r="E4" s="24" t="str">
        <x:v>Pointer focus</x:v>
      </x:c>
    </x:row>
    <x:row r="5">
      <x:c r="A5" s="25" t="str">
        <x:v>subtree_collapse</x:v>
      </x:c>
      <x:c r="B5" s="38" t="str">
        <x:v>Subtree Collapse / Expand</x:v>
      </x:c>
      <x:c r="C5" s="62" t="b">
        <x:v>1</x:v>
      </x:c>
      <x:c r="D5" s="38" t="str">
        <x:v>Restores descendants</x:v>
      </x:c>
      <x:c r="E5" s="26" t="str">
        <x:v>Structural reduction</x:v>
      </x:c>
    </x:row>
    <x:row r="6">
      <x:c r="A6" s="25" t="str">
        <x:v>compact</x:v>
      </x:c>
      <x:c r="B6" s="38" t="str">
        <x:v>Compact Mode</x:v>
      </x:c>
      <x:c r="C6" s="62" t="b">
        <x:v>0</x:v>
      </x:c>
      <x:c r="D6" s="38" t="str">
        <x:v>Restores cards</x:v>
      </x:c>
      <x:c r="E6" s="26" t="str">
        <x:v>Density</x:v>
      </x:c>
    </x:row>
    <x:row r="7">
      <x:c r="A7" s="25" t="str">
        <x:v>type_encoding</x:v>
      </x:c>
      <x:c r="B7" s="38" t="str">
        <x:v>Shape / Icon Type Encoding</x:v>
      </x:c>
      <x:c r="C7" s="62" t="b">
        <x:v>0</x:v>
      </x:c>
      <x:c r="D7" s="38" t="str">
        <x:v>Hides icons</x:v>
      </x:c>
      <x:c r="E7" s="26" t="str">
        <x:v>Grayscale identity</x:v>
      </x:c>
    </x:row>
    <x:row r="8">
      <x:c r="A8" s="25" t="str">
        <x:v>accessibility</x:v>
      </x:c>
      <x:c r="B8" s="38" t="str">
        <x:v>Accessibility / Colorblind Palette</x:v>
      </x:c>
      <x:c r="C8" s="62" t="b">
        <x:v>0</x:v>
      </x:c>
      <x:c r="D8" s="38" t="str">
        <x:v>Restores palette</x:v>
      </x:c>
      <x:c r="E8" s="26" t="str">
        <x:v>Color/keyboard access</x:v>
      </x:c>
    </x:row>
    <x:row r="9">
      <x:c r="A9" s="25" t="str">
        <x:v>single_connection</x:v>
      </x:c>
      <x:c r="B9" s="38" t="str">
        <x:v>Single Connection Rendering</x:v>
      </x:c>
      <x:c r="C9" s="62" t="b">
        <x:v>1</x:v>
      </x:c>
      <x:c r="D9" s="38" t="str">
        <x:v>Restores native line</x:v>
      </x:c>
      <x:c r="E9" s="26" t="str">
        <x:v>Remove helper edge</x:v>
      </x:c>
    </x:row>
    <x:row r="10">
      <x:c r="A10" s="25" t="str">
        <x:v>active_path</x:v>
      </x:c>
      <x:c r="B10" s="38" t="str">
        <x:v>Active Path Highlight</x:v>
      </x:c>
      <x:c r="C10" s="62" t="b">
        <x:v>1</x:v>
      </x:c>
      <x:c r="D10" s="38" t="str">
        <x:v>Clears highlight</x:v>
      </x:c>
      <x:c r="E10" s="26" t="str">
        <x:v>Runtime trace</x:v>
      </x:c>
    </x:row>
    <x:row r="11">
      <x:c r="A11" s="25" t="str">
        <x:v>branch_dimming</x:v>
      </x:c>
      <x:c r="B11" s="38" t="str">
        <x:v>Non-active Branch Dimming</x:v>
      </x:c>
      <x:c r="C11" s="62" t="b">
        <x:v>0</x:v>
      </x:c>
      <x:c r="D11" s="38" t="str">
        <x:v>Restores alpha</x:v>
      </x:c>
      <x:c r="E11" s="26" t="str">
        <x:v>Runtime focus</x:v>
      </x:c>
    </x:row>
    <x:row r="12">
      <x:c r="A12" s="25" t="str">
        <x:v>multi_column</x:v>
      </x:c>
      <x:c r="B12" s="38" t="str">
        <x:v>Multi-column Layout</x:v>
      </x:c>
      <x:c r="C12" s="62" t="b">
        <x:v>0</x:v>
      </x:c>
      <x:c r="D12" s="38" t="str">
        <x:v>One-row layout</x:v>
      </x:c>
      <x:c r="E12" s="26" t="str">
        <x:v>Wide fan-out</x:v>
      </x:c>
    </x:row>
    <x:row r="13">
      <x:c r="A13" s="25" t="str">
        <x:v>enhanced_minimap</x:v>
      </x:c>
      <x:c r="B13" s="38" t="str">
        <x:v>Enhanced Minimap</x:v>
      </x:c>
      <x:c r="C13" s="62" t="b">
        <x:v>1</x:v>
      </x:c>
      <x:c r="D13" s="38" t="str">
        <x:v>Standard minimap off</x:v>
      </x:c>
      <x:c r="E13" s="26" t="str">
        <x:v>Overview+detail</x:v>
      </x:c>
    </x:row>
    <x:row r="14">
      <x:c r="A14" s="25" t="str">
        <x:v>semantic_zoom</x:v>
      </x:c>
      <x:c r="B14" s="38" t="str">
        <x:v>Semantic Zoom</x:v>
      </x:c>
      <x:c r="C14" s="62" t="b">
        <x:v>0</x:v>
      </x:c>
      <x:c r="D14" s="38" t="str">
        <x:v>Full detail</x:v>
      </x:c>
      <x:c r="E14" s="26" t="str">
        <x:v>Information density</x:v>
      </x:c>
    </x:row>
    <x:row r="15">
      <x:c r="A15" s="25" t="str">
        <x:v>path_summary</x:v>
      </x:c>
      <x:c r="B15" s="38" t="str">
        <x:v>Path Summary View</x:v>
      </x:c>
      <x:c r="C15" s="62" t="b">
        <x:v>1</x:v>
      </x:c>
      <x:c r="D15" s="38" t="str">
        <x:v>Clears row</x:v>
      </x:c>
      <x:c r="E15" s="26" t="str">
        <x:v>Runtime navigation</x:v>
      </x:c>
    </x:row>
    <x:row r="16">
      <x:c r="A16" s="25" t="str">
        <x:v>decorator_badges</x:v>
      </x:c>
      <x:c r="B16" s="38" t="str">
        <x:v>Decorator Badges</x:v>
      </x:c>
      <x:c r="C16" s="62" t="b">
        <x:v>1</x:v>
      </x:c>
      <x:c r="D16" s="38" t="str">
        <x:v>Hides badges</x:v>
      </x:c>
      <x:c r="E16" s="26" t="str">
        <x:v>Condition visibility</x:v>
      </x:c>
    </x:row>
    <x:row r="17">
      <x:c r="A17" s="25" t="str">
        <x:v>search</x:v>
      </x:c>
      <x:c r="B17" s="38" t="str">
        <x:v>Search + Highlight</x:v>
      </x:c>
      <x:c r="C17" s="62" t="b">
        <x:v>1</x:v>
      </x:c>
      <x:c r="D17" s="38" t="str">
        <x:v>Clears query/dimming</x:v>
      </x:c>
      <x:c r="E17" s="26" t="str">
        <x:v>Target location</x:v>
      </x:c>
    </x:row>
    <x:row r="18">
      <x:c r="A18" s="25" t="str">
        <x:v>orthogonal_edges</x:v>
      </x:c>
      <x:c r="B18" s="38" t="str">
        <x:v>Orthogonal Edges</x:v>
      </x:c>
      <x:c r="C18" s="62" t="b">
        <x:v>0</x:v>
      </x:c>
      <x:c r="D18" s="38" t="str">
        <x:v>Bezier route</x:v>
      </x:c>
      <x:c r="E18" s="26" t="str">
        <x:v>Connection clarity</x:v>
      </x:c>
    </x:row>
    <x:row r="19">
      <x:c r="A19" s="25" t="str">
        <x:v>edge_bundling</x:v>
      </x:c>
      <x:c r="B19" s="38" t="str">
        <x:v>Edge Bundling</x:v>
      </x:c>
      <x:c r="C19" s="62" t="b">
        <x:v>0</x:v>
      </x:c>
      <x:c r="D19" s="38" t="str">
        <x:v>Bezier route</x:v>
      </x:c>
      <x:c r="E19" s="26" t="str">
        <x:v>Connection density</x:v>
      </x:c>
    </x:row>
    <x:row r="20">
      <x:c r="A20" s="25" t="str">
        <x:v>stable_layout</x:v>
      </x:c>
      <x:c r="B20" s="38" t="str">
        <x:v>Stable Incremental Layout</x:v>
      </x:c>
      <x:c r="C20" s="62" t="b">
        <x:v>0</x:v>
      </x:c>
      <x:c r="D20" s="38" t="str">
        <x:v>Normal arrange</x:v>
      </x:c>
      <x:c r="E20" s="26" t="str">
        <x:v>Mental map</x:v>
      </x:c>
    </x:row>
    <x:row r="21">
      <x:c r="A21" s="25" t="str">
        <x:v>breadcrumb</x:v>
      </x:c>
      <x:c r="B21" s="38" t="str">
        <x:v>Breadcrumb Navigation</x:v>
      </x:c>
      <x:c r="C21" s="62" t="b">
        <x:v>1</x:v>
      </x:c>
      <x:c r="D21" s="38" t="str">
        <x:v>Clears row</x:v>
      </x:c>
      <x:c r="E21" s="26" t="str">
        <x:v>Hierarchy navigation</x:v>
      </x:c>
    </x:row>
    <x:row r="22">
      <x:c r="A22" s="27" t="str">
        <x:v>failure_reason</x:v>
      </x:c>
      <x:c r="B22" s="39" t="str">
        <x:v>Failure Reason Annotation</x:v>
      </x:c>
      <x:c r="C22" s="63" t="b">
        <x:v>1</x:v>
      </x:c>
      <x:c r="D22" s="39" t="str">
        <x:v>Clears badges</x:v>
      </x:c>
      <x:c r="E22" s="28" t="str">
        <x:v>Runtime diagnosis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23" hidden="0" customWidth="1"/>
    <x:col min="4" max="4" width="23" hidden="0" customWidth="1"/>
    <x:col min="5" max="5" width="38" hidden="0" customWidth="1"/>
  </x:cols>
  <x:sheetData>
    <x:row r="1" ht="30" customHeight="1">
      <x:c r="A1" s="3" t="str">
        <x:v>Fixed GPU Visual Evidence Index</x:v>
      </x:c>
      <x:c r="B1" s="3"/>
      <x:c r="C1" s="3"/>
      <x:c r="D1" s="3"/>
      <x:c r="E1" s="3"/>
    </x:row>
    <x:row r="3">
      <x:c r="A3" s="9" t="str">
        <x:v>File</x:v>
      </x:c>
      <x:c r="B3" s="9" t="str">
        <x:v>Case</x:v>
      </x:c>
      <x:c r="C3" s="9" t="str">
        <x:v>Viewport</x:v>
      </x:c>
      <x:c r="D3" s="9" t="str">
        <x:v>Automated gate</x:v>
      </x:c>
      <x:c r="E3" s="9" t="str">
        <x:v>Manual observation</x:v>
      </x:c>
    </x:row>
    <x:row r="4">
      <x:c r="A4" s="23" t="str">
        <x:v>01_baseline.png</x:v>
      </x:c>
      <x:c r="B4" s="37" t="str">
        <x:v>01_baseline</x:v>
      </x:c>
      <x:c r="C4" s="37" t="str">
        <x:v>1600 x 900</x:v>
      </x:c>
      <x:c r="D4" s="37" t="str">
        <x:v>Image valid + case assertions</x:v>
      </x:c>
      <x:c r="E4" s="24" t="str">
        <x:v>Layout and reset inspected</x:v>
      </x:c>
    </x:row>
    <x:row r="5">
      <x:c r="A5" s="25" t="str">
        <x:v>01b_type_encoding.png</x:v>
      </x:c>
      <x:c r="B5" s="38" t="str">
        <x:v>01b_type_encoding</x:v>
      </x:c>
      <x:c r="C5" s="38" t="str">
        <x:v>1600 x 900</x:v>
      </x:c>
      <x:c r="D5" s="38" t="str">
        <x:v>Image valid + case assertions</x:v>
      </x:c>
      <x:c r="E5" s="26" t="str">
        <x:v>Layout and reset inspected</x:v>
      </x:c>
    </x:row>
    <x:row r="6">
      <x:c r="A6" s="25" t="str">
        <x:v>01c_type_encoding_grayscale.png</x:v>
      </x:c>
      <x:c r="B6" s="38" t="str">
        <x:v>01c_type_encoding_grayscale</x:v>
      </x:c>
      <x:c r="C6" s="38" t="str">
        <x:v>1600 x 900</x:v>
      </x:c>
      <x:c r="D6" s="38" t="str">
        <x:v>Image valid + case assertions</x:v>
      </x:c>
      <x:c r="E6" s="26" t="str">
        <x:v>Layout and reset inspected</x:v>
      </x:c>
    </x:row>
    <x:row r="7">
      <x:c r="A7" s="25" t="str">
        <x:v>01d_accessible_palette.png</x:v>
      </x:c>
      <x:c r="B7" s="38" t="str">
        <x:v>01d_accessible_palette</x:v>
      </x:c>
      <x:c r="C7" s="38" t="str">
        <x:v>1600 x 900</x:v>
      </x:c>
      <x:c r="D7" s="38" t="str">
        <x:v>Image valid + case assertions</x:v>
      </x:c>
      <x:c r="E7" s="26" t="str">
        <x:v>Layout and reset inspected</x:v>
      </x:c>
    </x:row>
    <x:row r="8">
      <x:c r="A8" s="25" t="str">
        <x:v>01e_single_connections.png</x:v>
      </x:c>
      <x:c r="B8" s="38" t="str">
        <x:v>01e_single_connections</x:v>
      </x:c>
      <x:c r="C8" s="38" t="str">
        <x:v>1600 x 900</x:v>
      </x:c>
      <x:c r="D8" s="38" t="str">
        <x:v>Image valid + case assertions</x:v>
      </x:c>
      <x:c r="E8" s="26" t="str">
        <x:v>No faint native helper line</x:v>
      </x:c>
    </x:row>
    <x:row r="9">
      <x:c r="A9" s="25" t="str">
        <x:v>02_compact.png</x:v>
      </x:c>
      <x:c r="B9" s="38" t="str">
        <x:v>02_compact</x:v>
      </x:c>
      <x:c r="C9" s="38" t="str">
        <x:v>1600 x 900</x:v>
      </x:c>
      <x:c r="D9" s="38" t="str">
        <x:v>Image valid + case assertions</x:v>
      </x:c>
      <x:c r="E9" s="26" t="str">
        <x:v>Layout and reset inspected</x:v>
      </x:c>
    </x:row>
    <x:row r="10">
      <x:c r="A10" s="25" t="str">
        <x:v>03_fisheye.png</x:v>
      </x:c>
      <x:c r="B10" s="38" t="str">
        <x:v>03_fisheye</x:v>
      </x:c>
      <x:c r="C10" s="38" t="str">
        <x:v>1600 x 900</x:v>
      </x:c>
      <x:c r="D10" s="38" t="str">
        <x:v>Image valid + case assertions</x:v>
      </x:c>
      <x:c r="E10" s="26" t="str">
        <x:v>Layout and reset inspected</x:v>
      </x:c>
    </x:row>
    <x:row r="11">
      <x:c r="A11" s="25" t="str">
        <x:v>04_fisheye_disabled.png</x:v>
      </x:c>
      <x:c r="B11" s="38" t="str">
        <x:v>04_fisheye_disabled</x:v>
      </x:c>
      <x:c r="C11" s="38" t="str">
        <x:v>1600 x 900</x:v>
      </x:c>
      <x:c r="D11" s="38" t="str">
        <x:v>Image valid + case assertions</x:v>
      </x:c>
      <x:c r="E11" s="26" t="str">
        <x:v>Layout and reset inspected</x:v>
      </x:c>
    </x:row>
    <x:row r="12">
      <x:c r="A12" s="25" t="str">
        <x:v>05_collapsed.png</x:v>
      </x:c>
      <x:c r="B12" s="38" t="str">
        <x:v>05_collapsed</x:v>
      </x:c>
      <x:c r="C12" s="38" t="str">
        <x:v>1600 x 900</x:v>
      </x:c>
      <x:c r="D12" s="38" t="str">
        <x:v>Image valid + case assertions</x:v>
      </x:c>
      <x:c r="E12" s="26" t="str">
        <x:v>Layout and reset inspected</x:v>
      </x:c>
    </x:row>
    <x:row r="13">
      <x:c r="A13" s="25" t="str">
        <x:v>06_search.png</x:v>
      </x:c>
      <x:c r="B13" s="38" t="str">
        <x:v>06_search</x:v>
      </x:c>
      <x:c r="C13" s="38" t="str">
        <x:v>1600 x 900</x:v>
      </x:c>
      <x:c r="D13" s="38" t="str">
        <x:v>Image valid + case assertions</x:v>
      </x:c>
      <x:c r="E13" s="26" t="str">
        <x:v>Layout and reset inspected</x:v>
      </x:c>
    </x:row>
    <x:row r="14">
      <x:c r="A14" s="25" t="str">
        <x:v>07_runtime_failure.png</x:v>
      </x:c>
      <x:c r="B14" s="38" t="str">
        <x:v>07_runtime_failure</x:v>
      </x:c>
      <x:c r="C14" s="38" t="str">
        <x:v>1600 x 900</x:v>
      </x:c>
      <x:c r="D14" s="38" t="str">
        <x:v>Image valid + case assertions</x:v>
      </x:c>
      <x:c r="E14" s="26" t="str">
        <x:v>Layout and reset inspected</x:v>
      </x:c>
    </x:row>
    <x:row r="15">
      <x:c r="A15" s="25" t="str">
        <x:v>07b_live_blackboard.png</x:v>
      </x:c>
      <x:c r="B15" s="38" t="str">
        <x:v>07b_live_blackboard</x:v>
      </x:c>
      <x:c r="C15" s="38" t="str">
        <x:v>1600 x 900</x:v>
      </x:c>
      <x:c r="D15" s="38" t="str">
        <x:v>Image valid + case assertions</x:v>
      </x:c>
      <x:c r="E15" s="26" t="str">
        <x:v>Layout and reset inspected</x:v>
      </x:c>
    </x:row>
    <x:row r="16">
      <x:c r="A16" s="25" t="str">
        <x:v>07c_schema_editor.png</x:v>
      </x:c>
      <x:c r="B16" s="38" t="str">
        <x:v>07c_schema_editor</x:v>
      </x:c>
      <x:c r="C16" s="38" t="str">
        <x:v>1600 x 900</x:v>
      </x:c>
      <x:c r="D16" s="38" t="str">
        <x:v>Image valid + case assertions</x:v>
      </x:c>
      <x:c r="E16" s="26" t="str">
        <x:v>Schema controls do not overlap</x:v>
      </x:c>
    </x:row>
    <x:row r="17">
      <x:c r="A17" s="25" t="str">
        <x:v>07d_schema_key_picker.png</x:v>
      </x:c>
      <x:c r="B17" s="38" t="str">
        <x:v>07d_schema_key_picker</x:v>
      </x:c>
      <x:c r="C17" s="38" t="str">
        <x:v>1600 x 900</x:v>
      </x:c>
      <x:c r="D17" s="38" t="str">
        <x:v>Image valid + case assertions</x:v>
      </x:c>
      <x:c r="E17" s="26" t="str">
        <x:v>Schema controls do not overlap</x:v>
      </x:c>
    </x:row>
    <x:row r="18">
      <x:c r="A18" s="25" t="str">
        <x:v>08_orthogonal_edges.png</x:v>
      </x:c>
      <x:c r="B18" s="38" t="str">
        <x:v>08_orthogonal_edges</x:v>
      </x:c>
      <x:c r="C18" s="38" t="str">
        <x:v>1600 x 900</x:v>
      </x:c>
      <x:c r="D18" s="38" t="str">
        <x:v>Image valid + case assertions</x:v>
      </x:c>
      <x:c r="E18" s="26" t="str">
        <x:v>Layout and reset inspected</x:v>
      </x:c>
    </x:row>
    <x:row r="19">
      <x:c r="A19" s="25" t="str">
        <x:v>09_bundled_edges.png</x:v>
      </x:c>
      <x:c r="B19" s="38" t="str">
        <x:v>09_bundled_edges</x:v>
      </x:c>
      <x:c r="C19" s="38" t="str">
        <x:v>1600 x 900</x:v>
      </x:c>
      <x:c r="D19" s="38" t="str">
        <x:v>Image valid + case assertions</x:v>
      </x:c>
      <x:c r="E19" s="26" t="str">
        <x:v>Layout and reset inspected</x:v>
      </x:c>
    </x:row>
    <x:row r="20">
      <x:c r="A20" s="27" t="str">
        <x:v>10_complex_tree.png</x:v>
      </x:c>
      <x:c r="B20" s="39" t="str">
        <x:v>10_complex_tree</x:v>
      </x:c>
      <x:c r="C20" s="39" t="str">
        <x:v>1600 x 900</x:v>
      </x:c>
      <x:c r="D20" s="39" t="str">
        <x:v>Image valid + case assertions</x:v>
      </x:c>
      <x:c r="E20" s="28" t="str">
        <x:v>Layout and reset inspected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8" hidden="0" customWidth="1"/>
    <x:col min="3" max="3" width="24" hidden="0" customWidth="1"/>
    <x:col min="4" max="4" width="42" hidden="0" customWidth="1"/>
  </x:cols>
  <x:sheetData>
    <x:row r="1" ht="30" customHeight="1">
      <x:c r="A1" s="3" t="str">
        <x:v>Reproduction Commands and Evidence Paths</x:v>
      </x:c>
      <x:c r="B1" s="3"/>
      <x:c r="C1" s="3"/>
      <x:c r="D1" s="3"/>
    </x:row>
    <x:row r="3">
      <x:c r="A3" s="9" t="str">
        <x:v>Purpose</x:v>
      </x:c>
      <x:c r="B3" s="9" t="str">
        <x:v>Command / path</x:v>
      </x:c>
      <x:c r="C3" s="9" t="str">
        <x:v>Expected</x:v>
      </x:c>
      <x:c r="D3" s="9" t="str">
        <x:v>Failure gate</x:v>
      </x:c>
    </x:row>
    <x:row r="4" ht="42" customHeight="1">
      <x:c r="A4" s="23" t="str">
        <x:v>Runtime semantics</x:v>
      </x:c>
      <x:c r="B4" s="37" t="str">
        <x:v>Godot_v4.6-stable_win64_console.exe --headless --audio-driver Dummy --path testgame/testgame --script res://tests/run_behavior_tree_tests.gd</x:v>
      </x:c>
      <x:c r="C4" s="37" t="str">
        <x:v>153/153</x:v>
      </x:c>
      <x:c r="D4" s="24" t="str">
        <x:v>Nonzero, FAIL, ERROR, SCRIPT ERROR, leak/crash</x:v>
      </x:c>
    </x:row>
    <x:row r="5" ht="42" customHeight="1">
      <x:c r="A5" s="25" t="str">
        <x:v>Editor GUI</x:v>
      </x:c>
      <x:c r="B5" s="38" t="str">
        <x:v>... --script res://tests/run_editor_view_tests.gd</x:v>
      </x:c>
      <x:c r="C5" s="38" t="str">
        <x:v>185/185</x:v>
      </x:c>
      <x:c r="D5" s="26" t="str">
        <x:v>Same strict gate</x:v>
      </x:c>
    </x:row>
    <x:row r="6" ht="42" customHeight="1">
      <x:c r="A6" s="25" t="str">
        <x:v>GPU visual</x:v>
      </x:c>
      <x:c r="B6" s="38" t="str">
        <x:v>... --rendering-method gl_compatibility --script res://tests/run_visual_regression_tests.gd</x:v>
      </x:c>
      <x:c r="C6" s="38" t="str">
        <x:v>70/70</x:v>
      </x:c>
      <x:c r="D6" s="26" t="str">
        <x:v>Same gate + manual image inspection</x:v>
      </x:c>
    </x:row>
    <x:row r="7" ht="42" customHeight="1">
      <x:c r="A7" s="25" t="str">
        <x:v>Runtime profile</x:v>
      </x:c>
      <x:c r="B7" s="38" t="str">
        <x:v>... --headless --script res://tests/run_runtime_profile.gd</x:v>
      </x:c>
      <x:c r="C7" s="38" t="str">
        <x:v>511/511</x:v>
      </x:c>
      <x:c r="D7" s="26" t="str">
        <x:v>Every cached median must beat uncached</x:v>
      </x:c>
    </x:row>
    <x:row r="8" ht="42" customHeight="1">
      <x:c r="A8" s="25" t="str">
        <x:v>Raw timing data</x:v>
      </x:c>
      <x:c r="B8" s="38" t="str">
        <x:v>testgame/testgame/test_results/runtime_profile.csv</x:v>
      </x:c>
      <x:c r="C8" s="38" t="str">
        <x:v>126 observations</x:v>
      </x:c>
      <x:c r="D8" s="26" t="str">
        <x:v>No missing scenario/sample</x:v>
      </x:c>
    </x:row>
    <x:row r="9" ht="42" customHeight="1">
      <x:c r="A9" s="25" t="str">
        <x:v>Visual output</x:v>
      </x:c>
      <x:c r="B9" s="38" t="str">
        <x:v>testgame/testgame/test_results/visual/</x:v>
      </x:c>
      <x:c r="C9" s="38" t="str">
        <x:v>17 PNG</x:v>
      </x:c>
      <x:c r="D9" s="26" t="str">
        <x:v>1600x900 and visually legible</x:v>
      </x:c>
    </x:row>
    <x:row r="10" ht="42" customHeight="1">
      <x:c r="A10" s="25" t="str">
        <x:v>Human study</x:v>
      </x:c>
      <x:c r="B10" s="38" t="str">
        <x:v>research/display_optimization/behavior_tree_human_comparison_study.xlsx</x:v>
      </x:c>
      <x:c r="C10" s="38" t="str">
        <x:v>270 planned trials</x:v>
      </x:c>
      <x:c r="D10" s="26" t="str">
        <x:v>Do not fabricate participant data</x:v>
      </x:c>
    </x:row>
    <x:row r="11" ht="42" customHeight="1">
      <x:c r="A11" s="27" t="str">
        <x:v>Package</x:v>
      </x:c>
      <x:c r="B11" s="39" t="str">
        <x:v>tools/package_behavior_tree_plugin.ps1</x:v>
      </x:c>
      <x:c r="C11" s="39" t="str">
        <x:v>53/53</x:v>
      </x:c>
      <x:c r="D11" s="28" t="str">
        <x:v>ZIP boundary, SHA-256, clean Godot install</x:v>
      </x:c>
    </x:row>
  </x:sheetData>
  <x:mergeCells>
    <x:mergeCell ref="A1:D1"/>
  </x:mergeCells>
  <x:pageMargins left="0.7" right="0.7" top="0.75" bottom="0.75" header="0.3" footer="0.3"/>
</x:worksheet>
</file>