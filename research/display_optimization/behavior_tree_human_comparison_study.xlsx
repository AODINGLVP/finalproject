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6b8ec66bd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a0c8b6079b147a6"/>
    <x:sheet xmlns:r="http://schemas.openxmlformats.org/officeDocument/2006/relationships" name="Participants" sheetId="2" r:id="R6e9ec36259dd4bd7"/>
    <x:sheet xmlns:r="http://schemas.openxmlformats.org/officeDocument/2006/relationships" name="Counterbalance" sheetId="3" r:id="R006796bee896416c"/>
    <x:sheet xmlns:r="http://schemas.openxmlformats.org/officeDocument/2006/relationships" name="Trial Plan" sheetId="4" r:id="Rddcd7e2cb1774ef6"/>
    <x:sheet xmlns:r="http://schemas.openxmlformats.org/officeDocument/2006/relationships" name="Raw Data" sheetId="5" r:id="R60f20c661e094e0c"/>
    <x:sheet xmlns:r="http://schemas.openxmlformats.org/officeDocument/2006/relationships" name="Summary" sheetId="6" r:id="R193206894cfc44a8"/>
    <x:sheet xmlns:r="http://schemas.openxmlformats.org/officeDocument/2006/relationships" name="Exclusion Rules" sheetId="7" r:id="Rc25d04157c0c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%"/>
    <x:numFmt numFmtId="203" formatCode="0.00"/>
  </x:numFmts>
  <x:fonts count="10">
    <x:font>
      <x:sz val="11"/>
      <x:name val="Carlito"/>
    </x:font>
    <x:font>
      <x:sz val="10"/>
      <x:color rgb="FF23303D"/>
      <x:name val="Microsoft YaHei"/>
    </x:font>
    <x:font>
      <x:b/>
      <x:sz val="16"/>
      <x:color rgb="FFFFFFFF"/>
      <x:name val="Microsoft YaHei"/>
    </x:font>
    <x:font>
      <x:sz val="10"/>
      <x:color rgb="FFC94A4A"/>
      <x:name val="Microsoft YaHei"/>
    </x:font>
    <x:font>
      <x:b/>
      <x:sz val="11"/>
      <x:color rgb="FFFFFFFF"/>
      <x:name val="Microsoft YaHei"/>
    </x:font>
    <x:font>
      <x:sz val="9"/>
      <x:color rgb="FF23303D"/>
      <x:name val="Microsoft YaHei"/>
    </x:font>
    <x:font>
      <x:b/>
      <x:sz val="9"/>
      <x:color rgb="FF177E78"/>
      <x:name val="Microsoft YaHei"/>
    </x:font>
    <x:font>
      <x:b/>
      <x:sz val="10"/>
      <x:color rgb="FFFFFFFF"/>
      <x:name val="Microsoft YaHei"/>
    </x:font>
    <x:font>
      <x:sz val="10"/>
      <x:color rgb="FF177E78"/>
      <x:name val="Microsoft YaHei"/>
    </x:font>
    <x:font>
      <x:b/>
      <x:sz val="9"/>
      <x:color rgb="FFD99B2B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DECEC"/>
      </x:patternFill>
    </x:fill>
    <x:fill>
      <x:patternFill patternType="solid">
        <x:fgColor rgb="FF177E78"/>
      </x:patternFill>
    </x:fill>
    <x:fill>
      <x:patternFill patternType="solid">
        <x:fgColor rgb="FFE8F5F3"/>
      </x:patternFill>
    </x:fill>
    <x:fill>
      <x:patternFill patternType="solid">
        <x:fgColor rgb="FFF3F7FA"/>
      </x:patternFill>
    </x:fill>
    <x:fill>
      <x:patternFill patternType="solid">
        <x:fgColor rgb="FFFFF5DC"/>
      </x:patternFill>
    </x:fill>
  </x:fills>
  <x:borders count="10">
    <x:border/>
    <x:border>
      <x:left style="thin">
        <x:color rgb="FFD7E0E7"/>
      </x:left>
      <x:top style="thin">
        <x:color rgb="FFD7E0E7"/>
      </x:top>
    </x:border>
    <x:border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</x:border>
    <x:border>
      <x:right style="thin">
        <x:color rgb="FFD7E0E7"/>
      </x:right>
    </x:border>
    <x:border>
      <x:left style="thin">
        <x:color rgb="FFD7E0E7"/>
      </x:left>
      <x:bottom style="thin">
        <x:color rgb="FFD7E0E7"/>
      </x:bottom>
    </x:border>
    <x:border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horizontal="left" wrapText="1"/>
    </x:xf>
    <x:xf numFmtId="0" fontId="5" fillId="0" borderId="9" xfId="0" applyNumberFormat="1" applyFont="1" applyFill="1" applyBorder="1" applyAlignment="1">
      <x:alignment horizontal="left" vertical="top" wrapText="1"/>
    </x:xf>
    <x:xf numFmtId="0" fontId="5" fillId="5" borderId="9" xfId="0" applyNumberFormat="1" applyFont="1" applyFill="1" applyBorder="1" applyAlignment="1">
      <x:alignment horizontal="left" vertical="top" wrapText="1"/>
    </x:xf>
    <x:xf numFmtId="0" fontId="6" fillId="5" borderId="9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9" xfId="0" applyNumberFormat="1" applyFont="1" applyFill="1" applyBorder="1"/>
    <x:xf numFmtId="0" fontId="7" fillId="2" borderId="9" xfId="0" applyNumberFormat="1" applyFont="1" applyFill="1" applyBorder="1" applyAlignment="1">
      <x:alignment wrapText="1"/>
    </x:xf>
    <x:xf numFmtId="0" fontId="7" fillId="2" borderId="9" xfId="0" applyNumberFormat="1" applyFont="1" applyFill="1" applyBorder="1" applyAlignment="1">
      <x:alignment horizontal="center" wrapText="1"/>
    </x:xf>
    <x:xf numFmtId="0" fontId="7" fillId="2" borderId="9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left" vertical="top" wrapText="1"/>
    </x:xf>
    <x:xf numFmtId="0" fontId="5" fillId="0" borderId="9" xfId="0" applyNumberFormat="1" applyFont="1" applyFill="1" applyBorder="1" applyAlignment="1">
      <x:alignment horizontal="center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200" fontId="5" fillId="0" borderId="9" xfId="0" applyNumberFormat="1" applyFont="1" applyFill="1" applyBorder="1" applyAlignment="1">
      <x:alignment horizontal="left" vertical="top" wrapText="1"/>
    </x:xf>
    <x:xf numFmtId="201" fontId="5" fillId="7" borderId="9" xfId="0" applyNumberFormat="1" applyFont="1" applyFill="1" applyBorder="1" applyAlignment="1">
      <x:alignment horizontal="left" vertical="top" wrapText="1"/>
    </x:xf>
    <x:xf numFmtId="200" fontId="5" fillId="7" borderId="9" xfId="0" applyNumberFormat="1" applyFont="1" applyFill="1" applyBorder="1" applyAlignment="1">
      <x:alignment horizontal="left" vertical="top" wrapText="1"/>
    </x:xf>
    <x:xf numFmtId="202" fontId="5" fillId="0" borderId="9" xfId="0" applyNumberFormat="1" applyFont="1" applyFill="1" applyBorder="1" applyAlignment="1">
      <x:alignment horizontal="left" vertical="top" wrapText="1"/>
    </x:xf>
    <x:xf numFmtId="203" fontId="5" fillId="0" borderId="9" xfId="0" applyNumberFormat="1" applyFont="1" applyFill="1" applyBorder="1" applyAlignment="1">
      <x:alignment horizontal="left" vertical="top" wrapText="1"/>
    </x:xf>
    <x:xf numFmtId="0" fontId="9" fillId="7" borderId="9" xfId="0" applyNumberFormat="1" applyFont="1" applyFill="1" applyBorder="1" applyAlignment="1">
      <x:alignment horizontal="left" vertical="top" wrapText="1"/>
    </x:xf>
    <x:xf numFmtId="0" fontId="9" fillId="7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658a1cc994ecf" /><Relationship Type="http://schemas.openxmlformats.org/officeDocument/2006/relationships/theme" Target="/xl/theme/theme1.xml" Id="Rec2739dcfaed4e32" /><Relationship Type="http://schemas.openxmlformats.org/officeDocument/2006/relationships/sharedStrings" Target="/xl/sharedStrings.xml" Id="R79b234deaeca4f14" /><Relationship Type="http://schemas.openxmlformats.org/officeDocument/2006/relationships/worksheet" Target="/xl/worksheets/sheet1.xml" Id="Rea0c8b6079b147a6" /><Relationship Type="http://schemas.openxmlformats.org/officeDocument/2006/relationships/worksheet" Target="/xl/worksheets/sheet2.xml" Id="R6e9ec36259dd4bd7" /><Relationship Type="http://schemas.openxmlformats.org/officeDocument/2006/relationships/worksheet" Target="/xl/worksheets/sheet3.xml" Id="R006796bee896416c" /><Relationship Type="http://schemas.openxmlformats.org/officeDocument/2006/relationships/worksheet" Target="/xl/worksheets/sheet4.xml" Id="Rddcd7e2cb1774ef6" /><Relationship Type="http://schemas.openxmlformats.org/officeDocument/2006/relationships/worksheet" Target="/xl/worksheets/sheet5.xml" Id="R60f20c661e094e0c" /><Relationship Type="http://schemas.openxmlformats.org/officeDocument/2006/relationships/worksheet" Target="/xl/worksheets/sheet6.xml" Id="R193206894cfc44a8" /><Relationship Type="http://schemas.openxmlformats.org/officeDocument/2006/relationships/worksheet" Target="/xl/worksheets/sheet7.xml" Id="Rc25d04157c0c4806" /><Relationship Type="http://schemas.microsoft.com/office/2017/10/relationships/person" Target="/xl/persons/person.xml" Id="Raa49c031b3dc40e3" /></Relationships>
</file>

<file path=xl/persons/person.xml><?xml version="1.0" encoding="utf-8"?>
<xltc:personList xmlns:xltc="http://schemas.microsoft.com/office/spreadsheetml/2018/threadedcomments">
  <xltc:person displayName="Researcher" id="{424DE027-AA86-419A-8F0D-03C87FAEB20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5" t="str">
        <x:v>241 节点可玩行为树开发者可用性实验</x:v>
      </x:c>
      <x:c r="B1" s="5" t="str">
        <x:v>241 节点可玩行为树开发者可用性实验</x:v>
      </x:c>
      <x:c r="C1" s="5" t="str">
        <x:v>241 节点可玩行为树开发者可用性实验</x:v>
      </x:c>
      <x:c r="D1" s="5" t="str">
        <x:v>241 节点可玩行为树开发者可用性实验</x:v>
      </x:c>
      <x:c r="E1" s="5" t="str">
        <x:v>241 节点可玩行为树开发者可用性实验</x:v>
      </x:c>
      <x:c r="F1" s="5" t="str">
        <x:v>241 节点可玩行为树开发者可用性实验</x:v>
      </x:c>
      <x:c r="G1" s="5" t="str">
        <x:v>241 节点可玩行为树开发者可用性实验</x:v>
      </x:c>
      <x:c r="H1" s="5" t="str">
        <x:v>241 节点可玩行为树开发者可用性实验</x:v>
      </x:c>
      <x:c r="I1" s="5" t="str">
        <x:v>241 节点可玩行为树开发者可用性实验</x:v>
      </x:c>
      <x:c r="J1" s="5" t="str">
        <x:v>241 节点可玩行为树开发者可用性实验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25" t="str">
        <x:v>状态：待采集。工作簿预生成 12 名参与者 × 18 次正式试验 = 216 行，但没有填入任何真人观测。GPU 耗时和几何面积不能代替可用性结论。</x:v>
      </x:c>
      <x:c r="B3" s="26" t="str">
        <x:v>状态：待采集。工作簿预生成 12 名参与者 × 18 次正式试验 = 216 行，但没有填入任何真人观测。GPU 耗时和几何面积不能代替可用性结论。</x:v>
      </x:c>
      <x:c r="C3" s="26" t="str">
        <x:v>状态：待采集。工作簿预生成 12 名参与者 × 18 次正式试验 = 216 行，但没有填入任何真人观测。GPU 耗时和几何面积不能代替可用性结论。</x:v>
      </x:c>
      <x:c r="D3" s="26" t="str">
        <x:v>状态：待采集。工作簿预生成 12 名参与者 × 18 次正式试验 = 216 行，但没有填入任何真人观测。GPU 耗时和几何面积不能代替可用性结论。</x:v>
      </x:c>
      <x:c r="E3" s="26" t="str">
        <x:v>状态：待采集。工作簿预生成 12 名参与者 × 18 次正式试验 = 216 行，但没有填入任何真人观测。GPU 耗时和几何面积不能代替可用性结论。</x:v>
      </x:c>
      <x:c r="F3" s="26" t="str">
        <x:v>状态：待采集。工作簿预生成 12 名参与者 × 18 次正式试验 = 216 行，但没有填入任何真人观测。GPU 耗时和几何面积不能代替可用性结论。</x:v>
      </x:c>
      <x:c r="G3" s="26" t="str">
        <x:v>状态：待采集。工作簿预生成 12 名参与者 × 18 次正式试验 = 216 行，但没有填入任何真人观测。GPU 耗时和几何面积不能代替可用性结论。</x:v>
      </x:c>
      <x:c r="H3" s="26" t="str">
        <x:v>状态：待采集。工作簿预生成 12 名参与者 × 18 次正式试验 = 216 行，但没有填入任何真人观测。GPU 耗时和几何面积不能代替可用性结论。</x:v>
      </x:c>
      <x:c r="I3" s="26" t="str">
        <x:v>状态：待采集。工作簿预生成 12 名参与者 × 18 次正式试验 = 216 行，但没有填入任何真人观测。GPU 耗时和几何面积不能代替可用性结论。</x:v>
      </x:c>
      <x:c r="J3" s="27" t="str">
        <x:v>状态：待采集。工作簿预生成 12 名参与者 × 18 次正式试验 = 216 行，但没有填入任何真人观测。GPU 耗时和几何面积不能代替可用性结论。</x:v>
      </x:c>
    </x:row>
    <x:row r="4">
      <x:c r="A4" s="28" t="str">
        <x:v>状态：待采集。工作簿预生成 12 名参与者 × 18 次正式试验 = 216 行，但没有填入任何真人观测。GPU 耗时和几何面积不能代替可用性结论。</x:v>
      </x:c>
      <x:c r="B4" s="29" t="str">
        <x:v>状态：待采集。工作簿预生成 12 名参与者 × 18 次正式试验 = 216 行，但没有填入任何真人观测。GPU 耗时和几何面积不能代替可用性结论。</x:v>
      </x:c>
      <x:c r="C4" s="29" t="str">
        <x:v>状态：待采集。工作簿预生成 12 名参与者 × 18 次正式试验 = 216 行，但没有填入任何真人观测。GPU 耗时和几何面积不能代替可用性结论。</x:v>
      </x:c>
      <x:c r="D4" s="29" t="str">
        <x:v>状态：待采集。工作簿预生成 12 名参与者 × 18 次正式试验 = 216 行，但没有填入任何真人观测。GPU 耗时和几何面积不能代替可用性结论。</x:v>
      </x:c>
      <x:c r="E4" s="29" t="str">
        <x:v>状态：待采集。工作簿预生成 12 名参与者 × 18 次正式试验 = 216 行，但没有填入任何真人观测。GPU 耗时和几何面积不能代替可用性结论。</x:v>
      </x:c>
      <x:c r="F4" s="29" t="str">
        <x:v>状态：待采集。工作簿预生成 12 名参与者 × 18 次正式试验 = 216 行，但没有填入任何真人观测。GPU 耗时和几何面积不能代替可用性结论。</x:v>
      </x:c>
      <x:c r="G4" s="29" t="str">
        <x:v>状态：待采集。工作簿预生成 12 名参与者 × 18 次正式试验 = 216 行，但没有填入任何真人观测。GPU 耗时和几何面积不能代替可用性结论。</x:v>
      </x:c>
      <x:c r="H4" s="29" t="str">
        <x:v>状态：待采集。工作簿预生成 12 名参与者 × 18 次正式试验 = 216 行，但没有填入任何真人观测。GPU 耗时和几何面积不能代替可用性结论。</x:v>
      </x:c>
      <x:c r="I4" s="29" t="str">
        <x:v>状态：待采集。工作簿预生成 12 名参与者 × 18 次正式试验 = 216 行，但没有填入任何真人观测。GPU 耗时和几何面积不能代替可用性结论。</x:v>
      </x:c>
      <x:c r="J4" s="30" t="str">
        <x:v>状态：待采集。工作簿预生成 12 名参与者 × 18 次正式试验 = 216 行，但没有填入任何真人观测。GPU 耗时和几何面积不能代替可用性结论。</x:v>
      </x:c>
    </x:row>
    <x:row r="5">
      <x:c r="A5" s="31" t="str">
        <x:v>状态：待采集。工作簿预生成 12 名参与者 × 18 次正式试验 = 216 行，但没有填入任何真人观测。GPU 耗时和几何面积不能代替可用性结论。</x:v>
      </x:c>
      <x:c r="B5" s="32" t="str">
        <x:v>状态：待采集。工作簿预生成 12 名参与者 × 18 次正式试验 = 216 行，但没有填入任何真人观测。GPU 耗时和几何面积不能代替可用性结论。</x:v>
      </x:c>
      <x:c r="C5" s="32" t="str">
        <x:v>状态：待采集。工作簿预生成 12 名参与者 × 18 次正式试验 = 216 行，但没有填入任何真人观测。GPU 耗时和几何面积不能代替可用性结论。</x:v>
      </x:c>
      <x:c r="D5" s="32" t="str">
        <x:v>状态：待采集。工作簿预生成 12 名参与者 × 18 次正式试验 = 216 行，但没有填入任何真人观测。GPU 耗时和几何面积不能代替可用性结论。</x:v>
      </x:c>
      <x:c r="E5" s="32" t="str">
        <x:v>状态：待采集。工作簿预生成 12 名参与者 × 18 次正式试验 = 216 行，但没有填入任何真人观测。GPU 耗时和几何面积不能代替可用性结论。</x:v>
      </x:c>
      <x:c r="F5" s="32" t="str">
        <x:v>状态：待采集。工作簿预生成 12 名参与者 × 18 次正式试验 = 216 行，但没有填入任何真人观测。GPU 耗时和几何面积不能代替可用性结论。</x:v>
      </x:c>
      <x:c r="G5" s="32" t="str">
        <x:v>状态：待采集。工作簿预生成 12 名参与者 × 18 次正式试验 = 216 行，但没有填入任何真人观测。GPU 耗时和几何面积不能代替可用性结论。</x:v>
      </x:c>
      <x:c r="H5" s="32" t="str">
        <x:v>状态：待采集。工作簿预生成 12 名参与者 × 18 次正式试验 = 216 行，但没有填入任何真人观测。GPU 耗时和几何面积不能代替可用性结论。</x:v>
      </x:c>
      <x:c r="I5" s="32" t="str">
        <x:v>状态：待采集。工作簿预生成 12 名参与者 × 18 次正式试验 = 216 行，但没有填入任何真人观测。GPU 耗时和几何面积不能代替可用性结论。</x:v>
      </x:c>
      <x:c r="J5" s="33" t="str">
        <x:v>状态：待采集。工作簿预生成 12 名参与者 × 18 次正式试验 = 216 行，但没有填入任何真人观测。GPU 耗时和几何面积不能代替可用性结论。</x:v>
      </x:c>
    </x:row>
    <x:row r="7" ht="24" customHeight="1">
      <x:c r="A7" s="36" t="str">
        <x:v>固定实验材料</x:v>
      </x:c>
      <x:c r="B7" s="36" t="str">
        <x:v>固定实验材料</x:v>
      </x:c>
      <x:c r="C7" s="36" t="str">
        <x:v>固定实验材料</x:v>
      </x:c>
      <x:c r="D7" s="36" t="str">
        <x:v>固定实验材料</x:v>
      </x:c>
      <x:c r="E7" s="36" t="str">
        <x:v>固定实验材料</x:v>
      </x:c>
      <x:c r="F7" s="36" t="str">
        <x:v>固定实验材料</x:v>
      </x:c>
      <x:c r="G7" s="36" t="str">
        <x:v>固定实验材料</x:v>
      </x:c>
      <x:c r="H7" s="36" t="str">
        <x:v>固定实验材料</x:v>
      </x:c>
      <x:c r="I7" s="36" t="str">
        <x:v>固定实验材料</x:v>
      </x:c>
      <x:c r="J7" s="36" t="str">
        <x:v>固定实验材料</x:v>
      </x:c>
    </x:row>
    <x:row r="8">
      <x:c r="A8" s="43" t="str">
        <x:v>正式树</x:v>
      </x:c>
      <x:c r="B8" s="41" t="str">
        <x:v>res://behavior_trees/complex_display_tree_241.tres</x:v>
      </x:c>
    </x:row>
    <x:row r="9">
      <x:c r="A9" s="43" t="str">
        <x:v>规模</x:v>
      </x:c>
      <x:c r="B9" s="41" t="str">
        <x:v>241 个资源节点；202 张卡片；39 个附加 Decorator</x:v>
      </x:c>
    </x:row>
    <x:row r="10">
      <x:c r="A10" s="43" t="str">
        <x:v>练习树</x:v>
      </x:c>
      <x:c r="B10" s="41" t="str">
        <x:v>res://behavior_trees/human_study_tree_121.tres</x:v>
      </x:c>
    </x:row>
    <x:row r="11">
      <x:c r="A11" s="43" t="str">
        <x:v>开发任务</x:v>
      </x:c>
      <x:c r="B11" s="41" t="str">
        <x:v>Locate Action / Trace Active Path / Edit Decorator</x:v>
      </x:c>
    </x:row>
    <x:row r="12">
      <x:c r="A12" s="43" t="str">
        <x:v>显示条件</x:v>
      </x:c>
      <x:c r="B12" s="41" t="str">
        <x:v>Baseline / Compact / Collapse / Fisheye / Search / Minimap</x:v>
      </x:c>
    </x:row>
    <x:row r="13">
      <x:c r="A13" s="43" t="str">
        <x:v>目标来源</x:v>
      </x:c>
      <x:c r="B13" s="41" t="str">
        <x:v>res://tests/fixtures/human_study_241_targets.json</x:v>
      </x:c>
    </x:row>
    <x:row r="14">
      <x:c r="A14" s="43" t="str">
        <x:v>Godot / 视口</x:v>
      </x:c>
      <x:c r="B14" s="41" t="str">
        <x:v>Godot 4.6 stable；English；1600×900；同一设备设置</x:v>
      </x:c>
    </x:row>
    <x:row r="15">
      <x:c r="A15" s="43" t="str">
        <x:v>Live Debug</x:v>
      </x:c>
      <x:c r="B15" s="41" t="str">
        <x:v>prepare_human_study_live_debug.gd -- --duration=1800 --target=&lt;key&gt;</x:v>
      </x:c>
    </x:row>
    <x:row r="17" ht="24" customHeight="1">
      <x:c r="A17" s="36" t="str">
        <x:v>执行流程</x:v>
      </x:c>
      <x:c r="B17" s="36" t="str">
        <x:v>执行流程</x:v>
      </x:c>
      <x:c r="C17" s="36" t="str">
        <x:v>执行流程</x:v>
      </x:c>
      <x:c r="D17" s="36" t="str">
        <x:v>执行流程</x:v>
      </x:c>
      <x:c r="E17" s="36" t="str">
        <x:v>执行流程</x:v>
      </x:c>
      <x:c r="F17" s="36" t="str">
        <x:v>执行流程</x:v>
      </x:c>
      <x:c r="G17" s="36" t="str">
        <x:v>执行流程</x:v>
      </x:c>
      <x:c r="H17" s="36" t="str">
        <x:v>执行流程</x:v>
      </x:c>
      <x:c r="I17" s="36" t="str">
        <x:v>执行流程</x:v>
      </x:c>
      <x:c r="J17" s="36" t="str">
        <x:v>执行流程</x:v>
      </x:c>
    </x:row>
    <x:row r="18">
      <x:c r="A18" s="46" t="str">
        <x:v>1. 完成知情说明和参与者信息；用 121 节点树完成三次不计分练习。</x:v>
      </x:c>
      <x:c r="B18" s="46"/>
      <x:c r="C18" s="46"/>
      <x:c r="D18" s="46"/>
      <x:c r="E18" s="46"/>
      <x:c r="F18" s="46"/>
      <x:c r="G18" s="46"/>
      <x:c r="H18" s="46"/>
      <x:c r="I18" s="46"/>
      <x:c r="J18" s="46"/>
    </x:row>
    <x:row r="19">
      <x:c r="A19" s="46" t="str">
        <x:v>2. 严格按 Trial Plan 的 Task、Method 和 Target 执行，不自行替换目标。</x:v>
      </x:c>
      <x:c r="B19" s="46"/>
      <x:c r="C19" s="46"/>
      <x:c r="D19" s="46"/>
      <x:c r="E19" s="46"/>
      <x:c r="F19" s="46"/>
      <x:c r="G19" s="46"/>
      <x:c r="H19" s="46"/>
      <x:c r="I19" s="46"/>
      <x:c r="J19" s="46"/>
    </x:row>
    <x:row r="20">
      <x:c r="A20" s="46" t="str">
        <x:v>3. 每次先 Show All、清空 Search、清除选择、恢复固定 Zoom/Pan，再只开启当前方法。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>
      <x:c r="A21" s="46" t="str">
        <x:v>4. Trace 任务用 Target Key 刷新对应 Live Debug；确认 ArenaEnemy / RUNNING / Depth 7。</x:v>
      </x:c>
      <x:c r="B21" s="46"/>
      <x:c r="C21" s="46"/>
      <x:c r="D21" s="46"/>
      <x:c r="E21" s="46"/>
      <x:c r="F21" s="46"/>
      <x:c r="G21" s="46"/>
      <x:c r="H21" s="46"/>
      <x:c r="I21" s="46"/>
      <x:c r="J21" s="46"/>
    </x:row>
    <x:row r="22">
      <x:c r="A22" s="46" t="str">
        <x:v>5. 从说“开始”计时，到成功、放弃或 180 秒停止；失败和超时必须保留。</x:v>
      </x:c>
      <x:c r="B22" s="46"/>
      <x:c r="C22" s="46"/>
      <x:c r="D22" s="46"/>
      <x:c r="E22" s="46"/>
      <x:c r="F22" s="46"/>
      <x:c r="G22" s="46"/>
      <x:c r="H22" s="46"/>
      <x:c r="I22" s="46"/>
      <x:c r="J22" s="46"/>
    </x:row>
    <x:row r="23">
      <x:c r="A23" s="46" t="str">
        <x:v>6. 当场在 Raw Data 黄色列录入时间、错误、Zoom、Pan、成功和两项评分。</x:v>
      </x:c>
      <x:c r="B23" s="46"/>
      <x:c r="C23" s="46"/>
      <x:c r="D23" s="46"/>
      <x:c r="E23" s="46"/>
      <x:c r="F23" s="46"/>
      <x:c r="G23" s="46"/>
      <x:c r="H23" s="46"/>
      <x:c r="I23" s="46"/>
      <x:c r="J23" s="46"/>
    </x:row>
    <x:row r="24">
      <x:c r="A24" s="46" t="str">
        <x:v>7. Edit 后恢复起始 Duration 并重新加载，确认没有保存其他修改。</x:v>
      </x:c>
      <x:c r="B24" s="46"/>
      <x:c r="C24" s="46"/>
      <x:c r="D24" s="46"/>
      <x:c r="E24" s="46"/>
      <x:c r="F24" s="46"/>
      <x:c r="G24" s="46"/>
      <x:c r="H24" s="46"/>
      <x:c r="I24" s="46"/>
      <x:c r="J24" s="46"/>
    </x:row>
    <x:row r="25">
      <x:c r="A25" s="46" t="str">
        <x:v>8. 只有崩溃、快照过期、错误初态或研究者错误可排除；记录原因并重排。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46" t="str">
        <x:v>9. 严格分析使用 analyze_human_study_results.py；Summary 页只作采集进度快速检查。</x:v>
      </x:c>
      <x:c r="B26" s="46"/>
      <x:c r="C26" s="46"/>
      <x:c r="D26" s="46"/>
      <x:c r="E26" s="46"/>
      <x:c r="F26" s="46"/>
      <x:c r="G26" s="46"/>
      <x:c r="H26" s="46"/>
      <x:c r="I26" s="46"/>
      <x:c r="J26" s="46"/>
    </x:row>
  </x:sheetData>
  <x:mergeCells>
    <x:mergeCell ref="A1:J1"/>
    <x:mergeCell ref="A3:J5"/>
    <x:mergeCell ref="A7:J7"/>
    <x:mergeCell ref="A17:J17"/>
    <x:mergeCell ref="A18:J18"/>
    <x:mergeCell ref="A19:J19"/>
    <x:mergeCell ref="A20:J20"/>
    <x:mergeCell ref="A21:J21"/>
    <x:mergeCell ref="A22:J22"/>
    <x:mergeCell ref="A23:J23"/>
    <x:mergeCell ref="A24:J24"/>
    <x:mergeCell ref="A25:J25"/>
    <x:mergeCell ref="A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 ht="34" customHeight="1">
      <x:c r="A1" s="5" t="str">
        <x:v>参与者与平衡分组</x:v>
      </x:c>
      <x:c r="B1" s="5" t="str">
        <x:v>参与者与平衡分组</x:v>
      </x:c>
      <x:c r="C1" s="5" t="str">
        <x:v>参与者与平衡分组</x:v>
      </x:c>
      <x:c r="D1" s="5" t="str">
        <x:v>参与者与平衡分组</x:v>
      </x:c>
      <x:c r="E1" s="5" t="str">
        <x:v>参与者与平衡分组</x:v>
      </x:c>
      <x:c r="F1" s="5" t="str">
        <x:v>参与者与平衡分组</x:v>
      </x:c>
      <x:c r="G1" s="5" t="str">
        <x:v>参与者与平衡分组</x:v>
      </x:c>
      <x:c r="H1" s="5" t="str">
        <x:v>参与者与平衡分组</x:v>
      </x:c>
      <x:c r="I1" s="5" t="str">
        <x:v>参与者与平衡分组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52" t="str">
        <x:v>Participant</x:v>
      </x:c>
      <x:c r="B3" s="52" t="str">
        <x:v>Method Order</x:v>
      </x:c>
      <x:c r="C3" s="52" t="str">
        <x:v>Task Order</x:v>
      </x:c>
      <x:c r="D3" s="52" t="str">
        <x:v>Target Offset</x:v>
      </x:c>
      <x:c r="E3" s="52" t="str">
        <x:v>Experience</x:v>
      </x:c>
      <x:c r="F3" s="52" t="str">
        <x:v>Godot Years</x:v>
      </x:c>
      <x:c r="G3" s="52" t="str">
        <x:v>BT Experience</x:v>
      </x:c>
      <x:c r="H3" s="52" t="str">
        <x:v>Consent</x:v>
      </x:c>
      <x:c r="I3" s="52" t="str">
        <x:v>Notes</x:v>
      </x:c>
    </x:row>
    <x:row r="4">
      <x:c r="A4" s="41" t="str">
        <x:v>P01</x:v>
      </x:c>
      <x:c r="B4" s="41" t="str">
        <x:v>M1</x:v>
      </x:c>
      <x:c r="C4" s="41" t="str">
        <x:v>T1</x:v>
      </x:c>
      <x:c r="D4" s="41" t="n">
        <x:v>1</x:v>
      </x:c>
      <x:c r="E4" s="53"/>
      <x:c r="F4" s="53"/>
      <x:c r="G4" s="53"/>
      <x:c r="H4" s="53"/>
      <x:c r="I4" s="53"/>
    </x:row>
    <x:row r="5">
      <x:c r="A5" s="41" t="str">
        <x:v>P02</x:v>
      </x:c>
      <x:c r="B5" s="41" t="str">
        <x:v>M2</x:v>
      </x:c>
      <x:c r="C5" s="41" t="str">
        <x:v>T2</x:v>
      </x:c>
      <x:c r="D5" s="41" t="n">
        <x:v>2</x:v>
      </x:c>
      <x:c r="E5" s="53"/>
      <x:c r="F5" s="53"/>
      <x:c r="G5" s="53"/>
      <x:c r="H5" s="53"/>
      <x:c r="I5" s="53"/>
    </x:row>
    <x:row r="6">
      <x:c r="A6" s="41" t="str">
        <x:v>P03</x:v>
      </x:c>
      <x:c r="B6" s="41" t="str">
        <x:v>M3</x:v>
      </x:c>
      <x:c r="C6" s="41" t="str">
        <x:v>T3</x:v>
      </x:c>
      <x:c r="D6" s="41" t="n">
        <x:v>3</x:v>
      </x:c>
      <x:c r="E6" s="53"/>
      <x:c r="F6" s="53"/>
      <x:c r="G6" s="53"/>
      <x:c r="H6" s="53"/>
      <x:c r="I6" s="53"/>
    </x:row>
    <x:row r="7">
      <x:c r="A7" s="41" t="str">
        <x:v>P04</x:v>
      </x:c>
      <x:c r="B7" s="41" t="str">
        <x:v>M4</x:v>
      </x:c>
      <x:c r="C7" s="41" t="str">
        <x:v>T1</x:v>
      </x:c>
      <x:c r="D7" s="41" t="n">
        <x:v>4</x:v>
      </x:c>
      <x:c r="E7" s="53"/>
      <x:c r="F7" s="53"/>
      <x:c r="G7" s="53"/>
      <x:c r="H7" s="53"/>
      <x:c r="I7" s="53"/>
    </x:row>
    <x:row r="8">
      <x:c r="A8" s="41" t="str">
        <x:v>P05</x:v>
      </x:c>
      <x:c r="B8" s="41" t="str">
        <x:v>M5</x:v>
      </x:c>
      <x:c r="C8" s="41" t="str">
        <x:v>T2</x:v>
      </x:c>
      <x:c r="D8" s="41" t="n">
        <x:v>5</x:v>
      </x:c>
      <x:c r="E8" s="53"/>
      <x:c r="F8" s="53"/>
      <x:c r="G8" s="53"/>
      <x:c r="H8" s="53"/>
      <x:c r="I8" s="53"/>
    </x:row>
    <x:row r="9">
      <x:c r="A9" s="41" t="str">
        <x:v>P06</x:v>
      </x:c>
      <x:c r="B9" s="41" t="str">
        <x:v>M6</x:v>
      </x:c>
      <x:c r="C9" s="41" t="str">
        <x:v>T3</x:v>
      </x:c>
      <x:c r="D9" s="41" t="n">
        <x:v>6</x:v>
      </x:c>
      <x:c r="E9" s="53"/>
      <x:c r="F9" s="53"/>
      <x:c r="G9" s="53"/>
      <x:c r="H9" s="53"/>
      <x:c r="I9" s="53"/>
    </x:row>
    <x:row r="10">
      <x:c r="A10" s="41" t="str">
        <x:v>P07</x:v>
      </x:c>
      <x:c r="B10" s="41" t="str">
        <x:v>M1</x:v>
      </x:c>
      <x:c r="C10" s="41" t="str">
        <x:v>T1</x:v>
      </x:c>
      <x:c r="D10" s="41" t="n">
        <x:v>1</x:v>
      </x:c>
      <x:c r="E10" s="53"/>
      <x:c r="F10" s="53"/>
      <x:c r="G10" s="53"/>
      <x:c r="H10" s="53"/>
      <x:c r="I10" s="53"/>
    </x:row>
    <x:row r="11">
      <x:c r="A11" s="41" t="str">
        <x:v>P08</x:v>
      </x:c>
      <x:c r="B11" s="41" t="str">
        <x:v>M2</x:v>
      </x:c>
      <x:c r="C11" s="41" t="str">
        <x:v>T2</x:v>
      </x:c>
      <x:c r="D11" s="41" t="n">
        <x:v>2</x:v>
      </x:c>
      <x:c r="E11" s="53"/>
      <x:c r="F11" s="53"/>
      <x:c r="G11" s="53"/>
      <x:c r="H11" s="53"/>
      <x:c r="I11" s="53"/>
    </x:row>
    <x:row r="12">
      <x:c r="A12" s="41" t="str">
        <x:v>P09</x:v>
      </x:c>
      <x:c r="B12" s="41" t="str">
        <x:v>M3</x:v>
      </x:c>
      <x:c r="C12" s="41" t="str">
        <x:v>T3</x:v>
      </x:c>
      <x:c r="D12" s="41" t="n">
        <x:v>3</x:v>
      </x:c>
      <x:c r="E12" s="53"/>
      <x:c r="F12" s="53"/>
      <x:c r="G12" s="53"/>
      <x:c r="H12" s="53"/>
      <x:c r="I12" s="53"/>
    </x:row>
    <x:row r="13">
      <x:c r="A13" s="41" t="str">
        <x:v>P10</x:v>
      </x:c>
      <x:c r="B13" s="41" t="str">
        <x:v>M4</x:v>
      </x:c>
      <x:c r="C13" s="41" t="str">
        <x:v>T1</x:v>
      </x:c>
      <x:c r="D13" s="41" t="n">
        <x:v>4</x:v>
      </x:c>
      <x:c r="E13" s="53"/>
      <x:c r="F13" s="53"/>
      <x:c r="G13" s="53"/>
      <x:c r="H13" s="53"/>
      <x:c r="I13" s="53"/>
    </x:row>
    <x:row r="14">
      <x:c r="A14" s="41" t="str">
        <x:v>P11</x:v>
      </x:c>
      <x:c r="B14" s="41" t="str">
        <x:v>M5</x:v>
      </x:c>
      <x:c r="C14" s="41" t="str">
        <x:v>T2</x:v>
      </x:c>
      <x:c r="D14" s="41" t="n">
        <x:v>5</x:v>
      </x:c>
      <x:c r="E14" s="53"/>
      <x:c r="F14" s="53"/>
      <x:c r="G14" s="53"/>
      <x:c r="H14" s="53"/>
      <x:c r="I14" s="53"/>
    </x:row>
    <x:row r="15">
      <x:c r="A15" s="41" t="str">
        <x:v>P12</x:v>
      </x:c>
      <x:c r="B15" s="41" t="str">
        <x:v>M6</x:v>
      </x:c>
      <x:c r="C15" s="41" t="str">
        <x:v>T3</x:v>
      </x:c>
      <x:c r="D15" s="41" t="n">
        <x:v>6</x:v>
      </x:c>
      <x:c r="E15" s="53"/>
      <x:c r="F15" s="53"/>
      <x:c r="G15" s="53"/>
      <x:c r="H15" s="53"/>
      <x:c r="I15" s="53"/>
    </x:row>
  </x:sheetData>
  <x:mergeCells>
    <x:mergeCell ref="A1:I1"/>
  </x:mergeCells>
  <x:dataValidations count="4">
    <x:dataValidation type="list" sqref="E4:E15">
      <x:formula1>"Novice,Intermediate,Expert"</x:formula1>
    </x:dataValidation>
    <x:dataValidation type="decimal" operator="between" sqref="F4:F15">
      <x:formula1>0</x:formula1>
      <x:formula2>50</x:formula2>
    </x:dataValidation>
    <x:dataValidation type="list" sqref="G4:G15">
      <x:formula1>"None,Basic,Experienced"</x:formula1>
    </x:dataValidation>
    <x:dataValidation type="list" sqref="H4:H15">
      <x:formula1>"Yes,No,Withdrawn"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5" t="str">
        <x:v>方法、任务与目标平衡</x:v>
      </x:c>
      <x:c r="B1" s="5" t="str">
        <x:v>方法、任务与目标平衡</x:v>
      </x:c>
      <x:c r="C1" s="5" t="str">
        <x:v>方法、任务与目标平衡</x:v>
      </x:c>
      <x:c r="D1" s="5" t="str">
        <x:v>方法、任务与目标平衡</x:v>
      </x:c>
      <x:c r="E1" s="5" t="str">
        <x:v>方法、任务与目标平衡</x:v>
      </x:c>
      <x:c r="F1" s="5" t="str">
        <x:v>方法、任务与目标平衡</x:v>
      </x:c>
      <x:c r="G1" s="5" t="str">
        <x:v>方法、任务与目标平衡</x:v>
      </x:c>
      <x:c r="H1" s="5" t="str">
        <x:v>方法、任务与目标平衡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52" t="str">
        <x:v>Method Order</x:v>
      </x:c>
      <x:c r="B3" s="52" t="str">
        <x:v>1</x:v>
      </x:c>
      <x:c r="C3" s="52" t="str">
        <x:v>2</x:v>
      </x:c>
      <x:c r="D3" s="52" t="str">
        <x:v>3</x:v>
      </x:c>
      <x:c r="E3" s="52" t="str">
        <x:v>4</x:v>
      </x:c>
      <x:c r="F3" s="52" t="str">
        <x:v>5</x:v>
      </x:c>
      <x:c r="G3" s="52" t="str">
        <x:v>6</x:v>
      </x:c>
    </x:row>
    <x:row r="4">
      <x:c r="A4" s="55" t="str">
        <x:v>M1</x:v>
      </x:c>
      <x:c r="B4" s="55" t="str">
        <x:v>Baseline</x:v>
      </x:c>
      <x:c r="C4" s="55" t="str">
        <x:v>Compact</x:v>
      </x:c>
      <x:c r="D4" s="55" t="str">
        <x:v>Minimap</x:v>
      </x:c>
      <x:c r="E4" s="55" t="str">
        <x:v>Collapse</x:v>
      </x:c>
      <x:c r="F4" s="55" t="str">
        <x:v>Search</x:v>
      </x:c>
      <x:c r="G4" s="55" t="str">
        <x:v>Fisheye</x:v>
      </x:c>
    </x:row>
    <x:row r="5">
      <x:c r="A5" s="55" t="str">
        <x:v>M2</x:v>
      </x:c>
      <x:c r="B5" s="55" t="str">
        <x:v>Compact</x:v>
      </x:c>
      <x:c r="C5" s="55" t="str">
        <x:v>Collapse</x:v>
      </x:c>
      <x:c r="D5" s="55" t="str">
        <x:v>Baseline</x:v>
      </x:c>
      <x:c r="E5" s="55" t="str">
        <x:v>Fisheye</x:v>
      </x:c>
      <x:c r="F5" s="55" t="str">
        <x:v>Minimap</x:v>
      </x:c>
      <x:c r="G5" s="55" t="str">
        <x:v>Search</x:v>
      </x:c>
    </x:row>
    <x:row r="6">
      <x:c r="A6" s="55" t="str">
        <x:v>M3</x:v>
      </x:c>
      <x:c r="B6" s="55" t="str">
        <x:v>Collapse</x:v>
      </x:c>
      <x:c r="C6" s="55" t="str">
        <x:v>Fisheye</x:v>
      </x:c>
      <x:c r="D6" s="55" t="str">
        <x:v>Compact</x:v>
      </x:c>
      <x:c r="E6" s="55" t="str">
        <x:v>Search</x:v>
      </x:c>
      <x:c r="F6" s="55" t="str">
        <x:v>Baseline</x:v>
      </x:c>
      <x:c r="G6" s="55" t="str">
        <x:v>Minimap</x:v>
      </x:c>
    </x:row>
    <x:row r="7">
      <x:c r="A7" s="55" t="str">
        <x:v>M4</x:v>
      </x:c>
      <x:c r="B7" s="55" t="str">
        <x:v>Fisheye</x:v>
      </x:c>
      <x:c r="C7" s="55" t="str">
        <x:v>Search</x:v>
      </x:c>
      <x:c r="D7" s="55" t="str">
        <x:v>Collapse</x:v>
      </x:c>
      <x:c r="E7" s="55" t="str">
        <x:v>Minimap</x:v>
      </x:c>
      <x:c r="F7" s="55" t="str">
        <x:v>Compact</x:v>
      </x:c>
      <x:c r="G7" s="55" t="str">
        <x:v>Baseline</x:v>
      </x:c>
    </x:row>
    <x:row r="8">
      <x:c r="A8" s="55" t="str">
        <x:v>M5</x:v>
      </x:c>
      <x:c r="B8" s="55" t="str">
        <x:v>Search</x:v>
      </x:c>
      <x:c r="C8" s="55" t="str">
        <x:v>Minimap</x:v>
      </x:c>
      <x:c r="D8" s="55" t="str">
        <x:v>Fisheye</x:v>
      </x:c>
      <x:c r="E8" s="55" t="str">
        <x:v>Baseline</x:v>
      </x:c>
      <x:c r="F8" s="55" t="str">
        <x:v>Collapse</x:v>
      </x:c>
      <x:c r="G8" s="55" t="str">
        <x:v>Compact</x:v>
      </x:c>
    </x:row>
    <x:row r="9">
      <x:c r="A9" s="55" t="str">
        <x:v>M6</x:v>
      </x:c>
      <x:c r="B9" s="55" t="str">
        <x:v>Minimap</x:v>
      </x:c>
      <x:c r="C9" s="55" t="str">
        <x:v>Baseline</x:v>
      </x:c>
      <x:c r="D9" s="55" t="str">
        <x:v>Search</x:v>
      </x:c>
      <x:c r="E9" s="55" t="str">
        <x:v>Compact</x:v>
      </x:c>
      <x:c r="F9" s="55" t="str">
        <x:v>Fisheye</x:v>
      </x:c>
      <x:c r="G9" s="55" t="str">
        <x:v>Collapse</x:v>
      </x:c>
    </x:row>
    <x:row r="12">
      <x:c r="A12" s="52" t="str">
        <x:v>Task Order</x:v>
      </x:c>
      <x:c r="B12" s="52" t="str">
        <x:v>Block 1</x:v>
      </x:c>
      <x:c r="C12" s="52" t="str">
        <x:v>Block 2</x:v>
      </x:c>
      <x:c r="D12" s="52" t="str">
        <x:v>Block 3</x:v>
      </x:c>
    </x:row>
    <x:row r="13">
      <x:c r="A13" s="55" t="str">
        <x:v>T1</x:v>
      </x:c>
      <x:c r="B13" s="55" t="str">
        <x:v>Locate Action</x:v>
      </x:c>
      <x:c r="C13" s="55" t="str">
        <x:v>Trace Active Path</x:v>
      </x:c>
      <x:c r="D13" s="55" t="str">
        <x:v>Edit Decorator</x:v>
      </x:c>
    </x:row>
    <x:row r="14">
      <x:c r="A14" s="55" t="str">
        <x:v>T2</x:v>
      </x:c>
      <x:c r="B14" s="55" t="str">
        <x:v>Trace Active Path</x:v>
      </x:c>
      <x:c r="C14" s="55" t="str">
        <x:v>Edit Decorator</x:v>
      </x:c>
      <x:c r="D14" s="55" t="str">
        <x:v>Locate Action</x:v>
      </x:c>
    </x:row>
    <x:row r="15">
      <x:c r="A15" s="55" t="str">
        <x:v>T3</x:v>
      </x:c>
      <x:c r="B15" s="55" t="str">
        <x:v>Edit Decorator</x:v>
      </x:c>
      <x:c r="C15" s="55" t="str">
        <x:v>Locate Action</x:v>
      </x:c>
      <x:c r="D15" s="55" t="str">
        <x:v>Trace Active Path</x:v>
      </x:c>
    </x:row>
    <x:row r="18">
      <x:c r="A18" s="52" t="str">
        <x:v>Participant</x:v>
      </x:c>
      <x:c r="B18" s="52" t="str">
        <x:v>Method Order</x:v>
      </x:c>
      <x:c r="C18" s="52" t="str">
        <x:v>Task Order</x:v>
      </x:c>
      <x:c r="D18" s="52" t="str">
        <x:v>Target Offset</x:v>
      </x:c>
    </x:row>
    <x:row r="19">
      <x:c r="A19" s="55" t="str">
        <x:v>P01</x:v>
      </x:c>
      <x:c r="B19" s="55" t="str">
        <x:v>M1</x:v>
      </x:c>
      <x:c r="C19" s="55" t="str">
        <x:v>T1</x:v>
      </x:c>
      <x:c r="D19" s="55" t="n">
        <x:v>1</x:v>
      </x:c>
    </x:row>
    <x:row r="20">
      <x:c r="A20" s="55" t="str">
        <x:v>P02</x:v>
      </x:c>
      <x:c r="B20" s="55" t="str">
        <x:v>M2</x:v>
      </x:c>
      <x:c r="C20" s="55" t="str">
        <x:v>T2</x:v>
      </x:c>
      <x:c r="D20" s="55" t="n">
        <x:v>2</x:v>
      </x:c>
    </x:row>
    <x:row r="21">
      <x:c r="A21" s="55" t="str">
        <x:v>P03</x:v>
      </x:c>
      <x:c r="B21" s="55" t="str">
        <x:v>M3</x:v>
      </x:c>
      <x:c r="C21" s="55" t="str">
        <x:v>T3</x:v>
      </x:c>
      <x:c r="D21" s="55" t="n">
        <x:v>3</x:v>
      </x:c>
    </x:row>
    <x:row r="22">
      <x:c r="A22" s="55" t="str">
        <x:v>P04</x:v>
      </x:c>
      <x:c r="B22" s="55" t="str">
        <x:v>M4</x:v>
      </x:c>
      <x:c r="C22" s="55" t="str">
        <x:v>T1</x:v>
      </x:c>
      <x:c r="D22" s="55" t="n">
        <x:v>4</x:v>
      </x:c>
    </x:row>
    <x:row r="23">
      <x:c r="A23" s="55" t="str">
        <x:v>P05</x:v>
      </x:c>
      <x:c r="B23" s="55" t="str">
        <x:v>M5</x:v>
      </x:c>
      <x:c r="C23" s="55" t="str">
        <x:v>T2</x:v>
      </x:c>
      <x:c r="D23" s="55" t="n">
        <x:v>5</x:v>
      </x:c>
    </x:row>
    <x:row r="24">
      <x:c r="A24" s="55" t="str">
        <x:v>P06</x:v>
      </x:c>
      <x:c r="B24" s="55" t="str">
        <x:v>M6</x:v>
      </x:c>
      <x:c r="C24" s="55" t="str">
        <x:v>T3</x:v>
      </x:c>
      <x:c r="D24" s="55" t="n">
        <x:v>6</x:v>
      </x:c>
    </x:row>
    <x:row r="25">
      <x:c r="A25" s="55" t="str">
        <x:v>P07</x:v>
      </x:c>
      <x:c r="B25" s="55" t="str">
        <x:v>M1</x:v>
      </x:c>
      <x:c r="C25" s="55" t="str">
        <x:v>T1</x:v>
      </x:c>
      <x:c r="D25" s="55" t="n">
        <x:v>1</x:v>
      </x:c>
    </x:row>
    <x:row r="26">
      <x:c r="A26" s="55" t="str">
        <x:v>P08</x:v>
      </x:c>
      <x:c r="B26" s="55" t="str">
        <x:v>M2</x:v>
      </x:c>
      <x:c r="C26" s="55" t="str">
        <x:v>T2</x:v>
      </x:c>
      <x:c r="D26" s="55" t="n">
        <x:v>2</x:v>
      </x:c>
    </x:row>
    <x:row r="27">
      <x:c r="A27" s="55" t="str">
        <x:v>P09</x:v>
      </x:c>
      <x:c r="B27" s="55" t="str">
        <x:v>M3</x:v>
      </x:c>
      <x:c r="C27" s="55" t="str">
        <x:v>T3</x:v>
      </x:c>
      <x:c r="D27" s="55" t="n">
        <x:v>3</x:v>
      </x:c>
    </x:row>
    <x:row r="28">
      <x:c r="A28" s="55" t="str">
        <x:v>P10</x:v>
      </x:c>
      <x:c r="B28" s="55" t="str">
        <x:v>M4</x:v>
      </x:c>
      <x:c r="C28" s="55" t="str">
        <x:v>T1</x:v>
      </x:c>
      <x:c r="D28" s="55" t="n">
        <x:v>4</x:v>
      </x:c>
    </x:row>
    <x:row r="29">
      <x:c r="A29" s="55" t="str">
        <x:v>P11</x:v>
      </x:c>
      <x:c r="B29" s="55" t="str">
        <x:v>M5</x:v>
      </x:c>
      <x:c r="C29" s="55" t="str">
        <x:v>T2</x:v>
      </x:c>
      <x:c r="D29" s="55" t="n">
        <x:v>5</x:v>
      </x:c>
    </x:row>
    <x:row r="30">
      <x:c r="A30" s="55" t="str">
        <x:v>P12</x:v>
      </x:c>
      <x:c r="B30" s="55" t="str">
        <x:v>M6</x:v>
      </x:c>
      <x:c r="C30" s="55" t="str">
        <x:v>T3</x:v>
      </x:c>
      <x:c r="D30" s="55" t="n">
        <x:v>6</x:v>
      </x:c>
    </x:row>
    <x:row r="33">
      <x:c r="A33" s="75" t="str">
        <x:v>12 人中每个方法顺序使用两次、每个任务顺序使用四次；目标按 (method index + participant index) mod 6 分配，因此每个方法×目标组合恰好出现两次。</x:v>
      </x:c>
      <x:c r="B33" s="76" t="str">
        <x:v>12 人中每个方法顺序使用两次、每个任务顺序使用四次；目标按 (method index + participant index) mod 6 分配，因此每个方法×目标组合恰好出现两次。</x:v>
      </x:c>
      <x:c r="C33" s="76" t="str">
        <x:v>12 人中每个方法顺序使用两次、每个任务顺序使用四次；目标按 (method index + participant index) mod 6 分配，因此每个方法×目标组合恰好出现两次。</x:v>
      </x:c>
      <x:c r="D33" s="76" t="str">
        <x:v>12 人中每个方法顺序使用两次、每个任务顺序使用四次；目标按 (method index + participant index) mod 6 分配，因此每个方法×目标组合恰好出现两次。</x:v>
      </x:c>
      <x:c r="E33" s="76" t="str">
        <x:v>12 人中每个方法顺序使用两次、每个任务顺序使用四次；目标按 (method index + participant index) mod 6 分配，因此每个方法×目标组合恰好出现两次。</x:v>
      </x:c>
      <x:c r="F33" s="76" t="str">
        <x:v>12 人中每个方法顺序使用两次、每个任务顺序使用四次；目标按 (method index + participant index) mod 6 分配，因此每个方法×目标组合恰好出现两次。</x:v>
      </x:c>
      <x:c r="G33" s="76" t="str">
        <x:v>12 人中每个方法顺序使用两次、每个任务顺序使用四次；目标按 (method index + participant index) mod 6 分配，因此每个方法×目标组合恰好出现两次。</x:v>
      </x:c>
      <x:c r="H33" s="77" t="str">
        <x:v>12 人中每个方法顺序使用两次、每个任务顺序使用四次；目标按 (method index + participant index) mod 6 分配，因此每个方法×目标组合恰好出现两次。</x:v>
      </x:c>
    </x:row>
    <x:row r="34">
      <x:c r="A34" s="78" t="str">
        <x:v>12 人中每个方法顺序使用两次、每个任务顺序使用四次；目标按 (method index + participant index) mod 6 分配，因此每个方法×目标组合恰好出现两次。</x:v>
      </x:c>
      <x:c r="B34" s="79" t="str">
        <x:v>12 人中每个方法顺序使用两次、每个任务顺序使用四次；目标按 (method index + participant index) mod 6 分配，因此每个方法×目标组合恰好出现两次。</x:v>
      </x:c>
      <x:c r="C34" s="79" t="str">
        <x:v>12 人中每个方法顺序使用两次、每个任务顺序使用四次；目标按 (method index + participant index) mod 6 分配，因此每个方法×目标组合恰好出现两次。</x:v>
      </x:c>
      <x:c r="D34" s="79" t="str">
        <x:v>12 人中每个方法顺序使用两次、每个任务顺序使用四次；目标按 (method index + participant index) mod 6 分配，因此每个方法×目标组合恰好出现两次。</x:v>
      </x:c>
      <x:c r="E34" s="79" t="str">
        <x:v>12 人中每个方法顺序使用两次、每个任务顺序使用四次；目标按 (method index + participant index) mod 6 分配，因此每个方法×目标组合恰好出现两次。</x:v>
      </x:c>
      <x:c r="F34" s="79" t="str">
        <x:v>12 人中每个方法顺序使用两次、每个任务顺序使用四次；目标按 (method index + participant index) mod 6 分配，因此每个方法×目标组合恰好出现两次。</x:v>
      </x:c>
      <x:c r="G34" s="79" t="str">
        <x:v>12 人中每个方法顺序使用两次、每个任务顺序使用四次；目标按 (method index + participant index) mod 6 分配，因此每个方法×目标组合恰好出现两次。</x:v>
      </x:c>
      <x:c r="H34" s="80" t="str">
        <x:v>12 人中每个方法顺序使用两次、每个任务顺序使用四次；目标按 (method index + participant index) mod 6 分配，因此每个方法×目标组合恰好出现两次。</x:v>
      </x:c>
    </x:row>
    <x:row r="35">
      <x:c r="A35" s="81" t="str">
        <x:v>12 人中每个方法顺序使用两次、每个任务顺序使用四次；目标按 (method index + participant index) mod 6 分配，因此每个方法×目标组合恰好出现两次。</x:v>
      </x:c>
      <x:c r="B35" s="82" t="str">
        <x:v>12 人中每个方法顺序使用两次、每个任务顺序使用四次；目标按 (method index + participant index) mod 6 分配，因此每个方法×目标组合恰好出现两次。</x:v>
      </x:c>
      <x:c r="C35" s="82" t="str">
        <x:v>12 人中每个方法顺序使用两次、每个任务顺序使用四次；目标按 (method index + participant index) mod 6 分配，因此每个方法×目标组合恰好出现两次。</x:v>
      </x:c>
      <x:c r="D35" s="82" t="str">
        <x:v>12 人中每个方法顺序使用两次、每个任务顺序使用四次；目标按 (method index + participant index) mod 6 分配，因此每个方法×目标组合恰好出现两次。</x:v>
      </x:c>
      <x:c r="E35" s="82" t="str">
        <x:v>12 人中每个方法顺序使用两次、每个任务顺序使用四次；目标按 (method index + participant index) mod 6 分配，因此每个方法×目标组合恰好出现两次。</x:v>
      </x:c>
      <x:c r="F35" s="82" t="str">
        <x:v>12 人中每个方法顺序使用两次、每个任务顺序使用四次；目标按 (method index + participant index) mod 6 分配，因此每个方法×目标组合恰好出现两次。</x:v>
      </x:c>
      <x:c r="G35" s="82" t="str">
        <x:v>12 人中每个方法顺序使用两次、每个任务顺序使用四次；目标按 (method index + participant index) mod 6 分配，因此每个方法×目标组合恰好出现两次。</x:v>
      </x:c>
      <x:c r="H35" s="83" t="str">
        <x:v>12 人中每个方法顺序使用两次、每个任务顺序使用四次；目标按 (method index + participant index) mod 6 分配，因此每个方法×目标组合恰好出现两次。</x:v>
      </x:c>
    </x:row>
  </x:sheetData>
  <x:mergeCells>
    <x:mergeCell ref="A1:H1"/>
    <x:mergeCell ref="A33:H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8" hidden="0" customWidth="1"/>
    <x:col min="14" max="14" width="64" hidden="0" customWidth="1"/>
    <x:col min="15" max="15" width="64" hidden="0" customWidth="1"/>
  </x:cols>
  <x:sheetData>
    <x:row r="1" ht="34" customHeight="1">
      <x:c r="A1" s="5" t="str">
        <x:v>预生成正式试验计划（216 次）</x:v>
      </x:c>
      <x:c r="B1" s="5" t="str">
        <x:v>预生成正式试验计划（216 次）</x:v>
      </x:c>
      <x:c r="C1" s="5" t="str">
        <x:v>预生成正式试验计划（216 次）</x:v>
      </x:c>
      <x:c r="D1" s="5" t="str">
        <x:v>预生成正式试验计划（216 次）</x:v>
      </x:c>
      <x:c r="E1" s="5" t="str">
        <x:v>预生成正式试验计划（216 次）</x:v>
      </x:c>
      <x:c r="F1" s="5" t="str">
        <x:v>预生成正式试验计划（216 次）</x:v>
      </x:c>
      <x:c r="G1" s="5" t="str">
        <x:v>预生成正式试验计划（216 次）</x:v>
      </x:c>
      <x:c r="H1" s="5" t="str">
        <x:v>预生成正式试验计划（216 次）</x:v>
      </x:c>
      <x:c r="I1" s="5" t="str">
        <x:v>预生成正式试验计划（216 次）</x:v>
      </x:c>
      <x:c r="J1" s="5" t="str">
        <x:v>预生成正式试验计划（216 次）</x:v>
      </x:c>
      <x:c r="K1" s="5" t="str">
        <x:v>预生成正式试验计划（216 次）</x:v>
      </x:c>
      <x:c r="L1" s="5" t="str">
        <x:v>预生成正式试验计划（216 次）</x:v>
      </x:c>
      <x:c r="M1" s="5" t="str">
        <x:v>预生成正式试验计划（216 次）</x:v>
      </x:c>
      <x:c r="N1" s="5" t="str">
        <x:v>预生成正式试验计划（216 次）</x:v>
      </x:c>
      <x:c r="O1" s="5" t="str">
        <x:v>预生成正式试验计划（216 次）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52" t="str">
        <x:v>Trial ID</x:v>
      </x:c>
      <x:c r="B3" s="52" t="str">
        <x:v>Participant</x:v>
      </x:c>
      <x:c r="C3" s="52" t="str">
        <x:v>Method Order</x:v>
      </x:c>
      <x:c r="D3" s="52" t="str">
        <x:v>Task Order</x:v>
      </x:c>
      <x:c r="E3" s="52" t="str">
        <x:v>Target Offset</x:v>
      </x:c>
      <x:c r="F3" s="52" t="str">
        <x:v>Block</x:v>
      </x:c>
      <x:c r="G3" s="52" t="str">
        <x:v>Position</x:v>
      </x:c>
      <x:c r="H3" s="52" t="str">
        <x:v>Task</x:v>
      </x:c>
      <x:c r="I3" s="52" t="str">
        <x:v>Method</x:v>
      </x:c>
      <x:c r="J3" s="52" t="str">
        <x:v>Tree Size</x:v>
      </x:c>
      <x:c r="K3" s="52" t="str">
        <x:v>Target Key</x:v>
      </x:c>
      <x:c r="L3" s="52" t="str">
        <x:v>Target ID</x:v>
      </x:c>
      <x:c r="M3" s="52" t="str">
        <x:v>Target Title</x:v>
      </x:c>
      <x:c r="N3" s="52" t="str">
        <x:v>Context</x:v>
      </x:c>
      <x:c r="O3" s="52" t="str">
        <x:v>Success Criterion</x:v>
      </x:c>
    </x:row>
    <x:row r="4">
      <x:c r="A4" s="41" t="str">
        <x:v>T001</x:v>
      </x:c>
      <x:c r="B4" s="41" t="str">
        <x:v>P01</x:v>
      </x:c>
      <x:c r="C4" s="41" t="str">
        <x:v>M1</x:v>
      </x:c>
      <x:c r="D4" s="41" t="str">
        <x:v>T1</x:v>
      </x:c>
      <x:c r="E4" s="84" t="n">
        <x:v>1</x:v>
      </x:c>
      <x:c r="F4" s="84" t="n">
        <x:v>1</x:v>
      </x:c>
      <x:c r="G4" s="84" t="n">
        <x:v>1</x:v>
      </x:c>
      <x:c r="H4" s="41" t="str">
        <x:v>Locate Action</x:v>
      </x:c>
      <x:c r="I4" s="41" t="str">
        <x:v>Baseline</x:v>
      </x:c>
      <x:c r="J4" s="84" t="n">
        <x:v>241</x:v>
      </x:c>
      <x:c r="K4" s="84" t="str">
        <x:v>obstacle</x:v>
      </x:c>
      <x:c r="L4" s="84" t="n">
        <x:v>83</x:v>
      </x:c>
      <x:c r="M4" s="41" t="str">
        <x:v>Jump Obstacle 1</x:v>
      </x:c>
      <x:c r="N4" s="41" t="str">
        <x:v>Path 1 &gt; 2 &gt; 3 &gt; 79 &gt; 81 &gt; 82 &gt; 83</x:v>
      </x:c>
      <x:c r="O4" s="41" t="str">
        <x:v>Select #83 Jump Obstacle 1</x:v>
      </x:c>
    </x:row>
    <x:row r="5">
      <x:c r="A5" s="41" t="str">
        <x:v>T002</x:v>
      </x:c>
      <x:c r="B5" s="41" t="str">
        <x:v>P01</x:v>
      </x:c>
      <x:c r="C5" s="41" t="str">
        <x:v>M1</x:v>
      </x:c>
      <x:c r="D5" s="41" t="str">
        <x:v>T1</x:v>
      </x:c>
      <x:c r="E5" s="84" t="n">
        <x:v>1</x:v>
      </x:c>
      <x:c r="F5" s="84" t="n">
        <x:v>1</x:v>
      </x:c>
      <x:c r="G5" s="84" t="n">
        <x:v>2</x:v>
      </x:c>
      <x:c r="H5" s="41" t="str">
        <x:v>Locate Action</x:v>
      </x:c>
      <x:c r="I5" s="41" t="str">
        <x:v>Compact</x:v>
      </x:c>
      <x:c r="J5" s="84" t="n">
        <x:v>241</x:v>
      </x:c>
      <x:c r="K5" s="84" t="str">
        <x:v>vertical</x:v>
      </x:c>
      <x:c r="L5" s="84" t="n">
        <x:v>91</x:v>
      </x:c>
      <x:c r="M5" s="41" t="str">
        <x:v>Climb Ladder 1</x:v>
      </x:c>
      <x:c r="N5" s="41" t="str">
        <x:v>Path 1 &gt; 2 &gt; 3 &gt; 87 &gt; 89 &gt; 90 &gt; 91</x:v>
      </x:c>
      <x:c r="O5" s="41" t="str">
        <x:v>Select #91 Climb Ladder 1</x:v>
      </x:c>
    </x:row>
    <x:row r="6">
      <x:c r="A6" s="41" t="str">
        <x:v>T003</x:v>
      </x:c>
      <x:c r="B6" s="41" t="str">
        <x:v>P01</x:v>
      </x:c>
      <x:c r="C6" s="41" t="str">
        <x:v>M1</x:v>
      </x:c>
      <x:c r="D6" s="41" t="str">
        <x:v>T1</x:v>
      </x:c>
      <x:c r="E6" s="84" t="n">
        <x:v>1</x:v>
      </x:c>
      <x:c r="F6" s="84" t="n">
        <x:v>1</x:v>
      </x:c>
      <x:c r="G6" s="84" t="n">
        <x:v>3</x:v>
      </x:c>
      <x:c r="H6" s="41" t="str">
        <x:v>Locate Action</x:v>
      </x:c>
      <x:c r="I6" s="41" t="str">
        <x:v>Minimap</x:v>
      </x:c>
      <x:c r="J6" s="84" t="n">
        <x:v>241</x:v>
      </x:c>
      <x:c r="K6" s="84" t="str">
        <x:v>patrol</x:v>
      </x:c>
      <x:c r="L6" s="84" t="n">
        <x:v>201</x:v>
      </x:c>
      <x:c r="M6" s="41" t="str">
        <x:v>Observe Patrol Point 1</x:v>
      </x:c>
      <x:c r="N6" s="41" t="str">
        <x:v>Path 1 &gt; 2 &gt; 3 &gt; 193 &gt; 196 &gt; 197 &gt; 201</x:v>
      </x:c>
      <x:c r="O6" s="41" t="str">
        <x:v>Select #201 Observe Patrol Point 1</x:v>
      </x:c>
    </x:row>
    <x:row r="7">
      <x:c r="A7" s="41" t="str">
        <x:v>T004</x:v>
      </x:c>
      <x:c r="B7" s="41" t="str">
        <x:v>P01</x:v>
      </x:c>
      <x:c r="C7" s="41" t="str">
        <x:v>M1</x:v>
      </x:c>
      <x:c r="D7" s="41" t="str">
        <x:v>T1</x:v>
      </x:c>
      <x:c r="E7" s="84" t="n">
        <x:v>1</x:v>
      </x:c>
      <x:c r="F7" s="84" t="n">
        <x:v>1</x:v>
      </x:c>
      <x:c r="G7" s="84" t="n">
        <x:v>4</x:v>
      </x:c>
      <x:c r="H7" s="41" t="str">
        <x:v>Locate Action</x:v>
      </x:c>
      <x:c r="I7" s="41" t="str">
        <x:v>Collapse</x:v>
      </x:c>
      <x:c r="J7" s="84" t="n">
        <x:v>241</x:v>
      </x:c>
      <x:c r="K7" s="84" t="str">
        <x:v>ranged</x:v>
      </x:c>
      <x:c r="L7" s="84" t="n">
        <x:v>101</x:v>
      </x:c>
      <x:c r="M7" s="41" t="str">
        <x:v>Fire Projectile 1</x:v>
      </x:c>
      <x:c r="N7" s="41" t="str">
        <x:v>Path 1 &gt; 2 &gt; 3 &gt; 95 &gt; 97 &gt; 98 &gt; 101</x:v>
      </x:c>
      <x:c r="O7" s="41" t="str">
        <x:v>Select #101 Fire Projectile 1</x:v>
      </x:c>
    </x:row>
    <x:row r="8">
      <x:c r="A8" s="41" t="str">
        <x:v>T005</x:v>
      </x:c>
      <x:c r="B8" s="41" t="str">
        <x:v>P01</x:v>
      </x:c>
      <x:c r="C8" s="41" t="str">
        <x:v>M1</x:v>
      </x:c>
      <x:c r="D8" s="41" t="str">
        <x:v>T1</x:v>
      </x:c>
      <x:c r="E8" s="84" t="n">
        <x:v>1</x:v>
      </x:c>
      <x:c r="F8" s="84" t="n">
        <x:v>1</x:v>
      </x:c>
      <x:c r="G8" s="84" t="n">
        <x:v>5</x:v>
      </x:c>
      <x:c r="H8" s="41" t="str">
        <x:v>Locate Action</x:v>
      </x:c>
      <x:c r="I8" s="41" t="str">
        <x:v>Search</x:v>
      </x:c>
      <x:c r="J8" s="84" t="n">
        <x:v>241</x:v>
      </x:c>
      <x:c r="K8" s="84" t="str">
        <x:v>search</x:v>
      </x:c>
      <x:c r="L8" s="84" t="n">
        <x:v>156</x:v>
      </x:c>
      <x:c r="M8" s="41" t="str">
        <x:v>Search Movement 1</x:v>
      </x:c>
      <x:c r="N8" s="41" t="str">
        <x:v>Path 1 &gt; 2 &gt; 3 &gt; 152 &gt; 154 &gt; 155 &gt; 156</x:v>
      </x:c>
      <x:c r="O8" s="41" t="str">
        <x:v>Select #156 Search Movement 1</x:v>
      </x:c>
    </x:row>
    <x:row r="9">
      <x:c r="A9" s="41" t="str">
        <x:v>T006</x:v>
      </x:c>
      <x:c r="B9" s="41" t="str">
        <x:v>P01</x:v>
      </x:c>
      <x:c r="C9" s="41" t="str">
        <x:v>M1</x:v>
      </x:c>
      <x:c r="D9" s="41" t="str">
        <x:v>T1</x:v>
      </x:c>
      <x:c r="E9" s="84" t="n">
        <x:v>1</x:v>
      </x:c>
      <x:c r="F9" s="84" t="n">
        <x:v>1</x:v>
      </x:c>
      <x:c r="G9" s="84" t="n">
        <x:v>6</x:v>
      </x:c>
      <x:c r="H9" s="41" t="str">
        <x:v>Locate Action</x:v>
      </x:c>
      <x:c r="I9" s="41" t="str">
        <x:v>Fisheye</x:v>
      </x:c>
      <x:c r="J9" s="84" t="n">
        <x:v>241</x:v>
      </x:c>
      <x:c r="K9" s="84" t="str">
        <x:v>pressure</x:v>
      </x:c>
      <x:c r="L9" s="84" t="n">
        <x:v>113</x:v>
      </x:c>
      <x:c r="M9" s="41" t="str">
        <x:v>Pressure Advance 1</x:v>
      </x:c>
      <x:c r="N9" s="41" t="str">
        <x:v>Path 1 &gt; 2 &gt; 3 &gt; 107 &gt; 109 &gt; 110 &gt; 113</x:v>
      </x:c>
      <x:c r="O9" s="41" t="str">
        <x:v>Select #113 Pressure Advance 1</x:v>
      </x:c>
    </x:row>
    <x:row r="10">
      <x:c r="A10" s="41" t="str">
        <x:v>T007</x:v>
      </x:c>
      <x:c r="B10" s="41" t="str">
        <x:v>P01</x:v>
      </x:c>
      <x:c r="C10" s="41" t="str">
        <x:v>M1</x:v>
      </x:c>
      <x:c r="D10" s="41" t="str">
        <x:v>T1</x:v>
      </x:c>
      <x:c r="E10" s="84" t="n">
        <x:v>1</x:v>
      </x:c>
      <x:c r="F10" s="84" t="n">
        <x:v>2</x:v>
      </x:c>
      <x:c r="G10" s="84" t="n">
        <x:v>1</x:v>
      </x:c>
      <x:c r="H10" s="41" t="str">
        <x:v>Trace Active Path</x:v>
      </x:c>
      <x:c r="I10" s="41" t="str">
        <x:v>Baseline</x:v>
      </x:c>
      <x:c r="J10" s="84" t="n">
        <x:v>241</x:v>
      </x:c>
      <x:c r="K10" s="84" t="str">
        <x:v>obstacle</x:v>
      </x:c>
      <x:c r="L10" s="84" t="n">
        <x:v>83</x:v>
      </x:c>
      <x:c r="M10" s="41" t="str">
        <x:v>Jump Obstacle 1</x:v>
      </x:c>
      <x:c r="N10" s="41" t="str">
        <x:v>Path 1 &gt; 2 &gt; 3 &gt; 79 &gt; 81 &gt; 82 &gt; 83</x:v>
      </x:c>
      <x:c r="O10" s="41" t="str">
        <x:v>Report Root &gt; Continuous Tactical Decisions &gt; Reactive Tactical Priority &gt; 4 Obstacle Traversal &gt; Obstacle Solution &gt; Vault Route 1 &gt; Jump Obstacle 1</x:v>
      </x:c>
    </x:row>
    <x:row r="11">
      <x:c r="A11" s="41" t="str">
        <x:v>T008</x:v>
      </x:c>
      <x:c r="B11" s="41" t="str">
        <x:v>P01</x:v>
      </x:c>
      <x:c r="C11" s="41" t="str">
        <x:v>M1</x:v>
      </x:c>
      <x:c r="D11" s="41" t="str">
        <x:v>T1</x:v>
      </x:c>
      <x:c r="E11" s="84" t="n">
        <x:v>1</x:v>
      </x:c>
      <x:c r="F11" s="84" t="n">
        <x:v>2</x:v>
      </x:c>
      <x:c r="G11" s="84" t="n">
        <x:v>2</x:v>
      </x:c>
      <x:c r="H11" s="41" t="str">
        <x:v>Trace Active Path</x:v>
      </x:c>
      <x:c r="I11" s="41" t="str">
        <x:v>Compact</x:v>
      </x:c>
      <x:c r="J11" s="84" t="n">
        <x:v>241</x:v>
      </x:c>
      <x:c r="K11" s="84" t="str">
        <x:v>vertical</x:v>
      </x:c>
      <x:c r="L11" s="84" t="n">
        <x:v>91</x:v>
      </x:c>
      <x:c r="M11" s="41" t="str">
        <x:v>Climb Ladder 1</x:v>
      </x:c>
      <x:c r="N11" s="41" t="str">
        <x:v>Path 1 &gt; 2 &gt; 3 &gt; 87 &gt; 89 &gt; 90 &gt; 91</x:v>
      </x:c>
      <x:c r="O11" s="41" t="str">
        <x:v>Report Root &gt; Continuous Tactical Decisions &gt; Reactive Tactical Priority &gt; 5 Vertical Pursuit &gt; Climb Approach &gt; Climb Route 1 &gt; Climb Ladder 1</x:v>
      </x:c>
    </x:row>
    <x:row r="12">
      <x:c r="A12" s="41" t="str">
        <x:v>T009</x:v>
      </x:c>
      <x:c r="B12" s="41" t="str">
        <x:v>P01</x:v>
      </x:c>
      <x:c r="C12" s="41" t="str">
        <x:v>M1</x:v>
      </x:c>
      <x:c r="D12" s="41" t="str">
        <x:v>T1</x:v>
      </x:c>
      <x:c r="E12" s="84" t="n">
        <x:v>1</x:v>
      </x:c>
      <x:c r="F12" s="84" t="n">
        <x:v>2</x:v>
      </x:c>
      <x:c r="G12" s="84" t="n">
        <x:v>3</x:v>
      </x:c>
      <x:c r="H12" s="41" t="str">
        <x:v>Trace Active Path</x:v>
      </x:c>
      <x:c r="I12" s="41" t="str">
        <x:v>Minimap</x:v>
      </x:c>
      <x:c r="J12" s="84" t="n">
        <x:v>241</x:v>
      </x:c>
      <x:c r="K12" s="84" t="str">
        <x:v>patrol</x:v>
      </x:c>
      <x:c r="L12" s="84" t="n">
        <x:v>201</x:v>
      </x:c>
      <x:c r="M12" s="41" t="str">
        <x:v>Observe Patrol Point 1</x:v>
      </x:c>
      <x:c r="N12" s="41" t="str">
        <x:v>Path 1 &gt; 2 &gt; 3 &gt; 193 &gt; 196 &gt; 197 &gt; 201</x:v>
      </x:c>
      <x:c r="O12" s="41" t="str">
        <x:v>Report Root &gt; Continuous Tactical Decisions &gt; Reactive Tactical Priority &gt; 11 Layered Patrol &gt; Patrol Route Choice &gt; Patrol Route 1 &gt; Observe Patrol Point 1</x:v>
      </x:c>
    </x:row>
    <x:row r="13">
      <x:c r="A13" s="41" t="str">
        <x:v>T010</x:v>
      </x:c>
      <x:c r="B13" s="41" t="str">
        <x:v>P01</x:v>
      </x:c>
      <x:c r="C13" s="41" t="str">
        <x:v>M1</x:v>
      </x:c>
      <x:c r="D13" s="41" t="str">
        <x:v>T1</x:v>
      </x:c>
      <x:c r="E13" s="84" t="n">
        <x:v>1</x:v>
      </x:c>
      <x:c r="F13" s="84" t="n">
        <x:v>2</x:v>
      </x:c>
      <x:c r="G13" s="84" t="n">
        <x:v>4</x:v>
      </x:c>
      <x:c r="H13" s="41" t="str">
        <x:v>Trace Active Path</x:v>
      </x:c>
      <x:c r="I13" s="41" t="str">
        <x:v>Collapse</x:v>
      </x:c>
      <x:c r="J13" s="84" t="n">
        <x:v>241</x:v>
      </x:c>
      <x:c r="K13" s="84" t="str">
        <x:v>ranged</x:v>
      </x:c>
      <x:c r="L13" s="84" t="n">
        <x:v>101</x:v>
      </x:c>
      <x:c r="M13" s="41" t="str">
        <x:v>Fire Projectile 1</x:v>
      </x:c>
      <x:c r="N13" s="41" t="str">
        <x:v>Path 1 &gt; 2 &gt; 3 &gt; 95 &gt; 97 &gt; 98 &gt; 101</x:v>
      </x:c>
      <x:c r="O13" s="41" t="str">
        <x:v>Report Root &gt; Continuous Tactical Decisions &gt; Reactive Tactical Priority &gt; 6 Ranged Suppression &gt; Ranged Firing Pattern &gt; Ranged Pattern 1 &gt; Fire Projectile 1</x:v>
      </x:c>
    </x:row>
    <x:row r="14">
      <x:c r="A14" s="41" t="str">
        <x:v>T011</x:v>
      </x:c>
      <x:c r="B14" s="41" t="str">
        <x:v>P01</x:v>
      </x:c>
      <x:c r="C14" s="41" t="str">
        <x:v>M1</x:v>
      </x:c>
      <x:c r="D14" s="41" t="str">
        <x:v>T1</x:v>
      </x:c>
      <x:c r="E14" s="84" t="n">
        <x:v>1</x:v>
      </x:c>
      <x:c r="F14" s="84" t="n">
        <x:v>2</x:v>
      </x:c>
      <x:c r="G14" s="84" t="n">
        <x:v>5</x:v>
      </x:c>
      <x:c r="H14" s="41" t="str">
        <x:v>Trace Active Path</x:v>
      </x:c>
      <x:c r="I14" s="41" t="str">
        <x:v>Search</x:v>
      </x:c>
      <x:c r="J14" s="84" t="n">
        <x:v>241</x:v>
      </x:c>
      <x:c r="K14" s="84" t="str">
        <x:v>search</x:v>
      </x:c>
      <x:c r="L14" s="84" t="n">
        <x:v>156</x:v>
      </x:c>
      <x:c r="M14" s="41" t="str">
        <x:v>Search Movement 1</x:v>
      </x:c>
      <x:c r="N14" s="41" t="str">
        <x:v>Path 1 &gt; 2 &gt; 3 &gt; 152 &gt; 154 &gt; 155 &gt; 156</x:v>
      </x:c>
      <x:c r="O14" s="41" t="str">
        <x:v>Report Root &gt; Continuous Tactical Decisions &gt; Reactive Tactical Priority &gt; 9 Last-Known-Position Search &gt; Search Pattern &gt; Search Pattern 1 &gt; Search Movement 1</x:v>
      </x:c>
    </x:row>
    <x:row r="15">
      <x:c r="A15" s="41" t="str">
        <x:v>T012</x:v>
      </x:c>
      <x:c r="B15" s="41" t="str">
        <x:v>P01</x:v>
      </x:c>
      <x:c r="C15" s="41" t="str">
        <x:v>M1</x:v>
      </x:c>
      <x:c r="D15" s="41" t="str">
        <x:v>T1</x:v>
      </x:c>
      <x:c r="E15" s="84" t="n">
        <x:v>1</x:v>
      </x:c>
      <x:c r="F15" s="84" t="n">
        <x:v>2</x:v>
      </x:c>
      <x:c r="G15" s="84" t="n">
        <x:v>6</x:v>
      </x:c>
      <x:c r="H15" s="41" t="str">
        <x:v>Trace Active Path</x:v>
      </x:c>
      <x:c r="I15" s="41" t="str">
        <x:v>Fisheye</x:v>
      </x:c>
      <x:c r="J15" s="84" t="n">
        <x:v>241</x:v>
      </x:c>
      <x:c r="K15" s="84" t="str">
        <x:v>pressure</x:v>
      </x:c>
      <x:c r="L15" s="84" t="n">
        <x:v>113</x:v>
      </x:c>
      <x:c r="M15" s="41" t="str">
        <x:v>Pressure Advance 1</x:v>
      </x:c>
      <x:c r="N15" s="41" t="str">
        <x:v>Path 1 &gt; 2 &gt; 3 &gt; 107 &gt; 109 &gt; 110 &gt; 113</x:v>
      </x:c>
      <x:c r="O15" s="41" t="str">
        <x:v>Report Root &gt; Continuous Tactical Decisions &gt; Reactive Tactical Priority &gt; 7 Mid-Range Pressure &gt; Pressure Pattern &gt; Pressure Pattern 1 &gt; Pressure Advance 1</x:v>
      </x:c>
    </x:row>
    <x:row r="16">
      <x:c r="A16" s="41" t="str">
        <x:v>T013</x:v>
      </x:c>
      <x:c r="B16" s="41" t="str">
        <x:v>P01</x:v>
      </x:c>
      <x:c r="C16" s="41" t="str">
        <x:v>M1</x:v>
      </x:c>
      <x:c r="D16" s="41" t="str">
        <x:v>T1</x:v>
      </x:c>
      <x:c r="E16" s="84" t="n">
        <x:v>1</x:v>
      </x:c>
      <x:c r="F16" s="84" t="n">
        <x:v>3</x:v>
      </x:c>
      <x:c r="G16" s="84" t="n">
        <x:v>1</x:v>
      </x:c>
      <x:c r="H16" s="41" t="str">
        <x:v>Edit Decorator</x:v>
      </x:c>
      <x:c r="I16" s="41" t="str">
        <x:v>Baseline</x:v>
      </x:c>
      <x:c r="J16" s="84" t="n">
        <x:v>241</x:v>
      </x:c>
      <x:c r="K16" s="84" t="str">
        <x:v>defense</x:v>
      </x:c>
      <x:c r="L16" s="84" t="n">
        <x:v>31</x:v>
      </x:c>
      <x:c r="M16" s="41" t="str">
        <x:v>Defense Cooldown 1</x:v>
      </x:c>
      <x:c r="N16" s="41" t="str">
        <x:v>Owner #29 Dodge Left; cooldown; 0.45 -&gt; 0.55</x:v>
      </x:c>
      <x:c r="O16" s="41" t="str">
        <x:v>Set Decorator #31 Duration to 0.55; no other change</x:v>
      </x:c>
    </x:row>
    <x:row r="17">
      <x:c r="A17" s="41" t="str">
        <x:v>T014</x:v>
      </x:c>
      <x:c r="B17" s="41" t="str">
        <x:v>P01</x:v>
      </x:c>
      <x:c r="C17" s="41" t="str">
        <x:v>M1</x:v>
      </x:c>
      <x:c r="D17" s="41" t="str">
        <x:v>T1</x:v>
      </x:c>
      <x:c r="E17" s="84" t="n">
        <x:v>1</x:v>
      </x:c>
      <x:c r="F17" s="84" t="n">
        <x:v>3</x:v>
      </x:c>
      <x:c r="G17" s="84" t="n">
        <x:v>2</x:v>
      </x:c>
      <x:c r="H17" s="41" t="str">
        <x:v>Edit Decorator</x:v>
      </x:c>
      <x:c r="I17" s="41" t="str">
        <x:v>Compact</x:v>
      </x:c>
      <x:c r="J17" s="84" t="n">
        <x:v>241</x:v>
      </x:c>
      <x:c r="K17" s="84" t="str">
        <x:v>pressure</x:v>
      </x:c>
      <x:c r="L17" s="84" t="n">
        <x:v>114</x:v>
      </x:c>
      <x:c r="M17" s="41" t="str">
        <x:v>Pressure Cooldown 1</x:v>
      </x:c>
      <x:c r="N17" s="41" t="str">
        <x:v>Owner #111 Pressure Reposition 1; cooldown; 0.35 -&gt; 0.45</x:v>
      </x:c>
      <x:c r="O17" s="41" t="str">
        <x:v>Set Decorator #114 Duration to 0.45; no other change</x:v>
      </x:c>
    </x:row>
    <x:row r="18">
      <x:c r="A18" s="41" t="str">
        <x:v>T015</x:v>
      </x:c>
      <x:c r="B18" s="41" t="str">
        <x:v>P01</x:v>
      </x:c>
      <x:c r="C18" s="41" t="str">
        <x:v>M1</x:v>
      </x:c>
      <x:c r="D18" s="41" t="str">
        <x:v>T1</x:v>
      </x:c>
      <x:c r="E18" s="84" t="n">
        <x:v>1</x:v>
      </x:c>
      <x:c r="F18" s="84" t="n">
        <x:v>3</x:v>
      </x:c>
      <x:c r="G18" s="84" t="n">
        <x:v>3</x:v>
      </x:c>
      <x:c r="H18" s="41" t="str">
        <x:v>Edit Decorator</x:v>
      </x:c>
      <x:c r="I18" s="41" t="str">
        <x:v>Minimap</x:v>
      </x:c>
      <x:c r="J18" s="84" t="n">
        <x:v>241</x:v>
      </x:c>
      <x:c r="K18" s="84" t="str">
        <x:v>patrol</x:v>
      </x:c>
      <x:c r="L18" s="84" t="n">
        <x:v>202</x:v>
      </x:c>
      <x:c r="M18" s="41" t="str">
        <x:v>Patrol Leg Limit 1</x:v>
      </x:c>
      <x:c r="N18" s="41" t="str">
        <x:v>Owner #199 Patrol Movement 1; time_limit; 1.5 -&gt; 1.6</x:v>
      </x:c>
      <x:c r="O18" s="41" t="str">
        <x:v>Set Decorator #202 Duration to 1.6; no other change</x:v>
      </x:c>
    </x:row>
    <x:row r="19">
      <x:c r="A19" s="41" t="str">
        <x:v>T016</x:v>
      </x:c>
      <x:c r="B19" s="41" t="str">
        <x:v>P01</x:v>
      </x:c>
      <x:c r="C19" s="41" t="str">
        <x:v>M1</x:v>
      </x:c>
      <x:c r="D19" s="41" t="str">
        <x:v>T1</x:v>
      </x:c>
      <x:c r="E19" s="84" t="n">
        <x:v>1</x:v>
      </x:c>
      <x:c r="F19" s="84" t="n">
        <x:v>3</x:v>
      </x:c>
      <x:c r="G19" s="84" t="n">
        <x:v>4</x:v>
      </x:c>
      <x:c r="H19" s="41" t="str">
        <x:v>Edit Decorator</x:v>
      </x:c>
      <x:c r="I19" s="41" t="str">
        <x:v>Collapse</x:v>
      </x:c>
      <x:c r="J19" s="84" t="n">
        <x:v>241</x:v>
      </x:c>
      <x:c r="K19" s="84" t="str">
        <x:v>chase</x:v>
      </x:c>
      <x:c r="L19" s="84" t="n">
        <x:v>133</x:v>
      </x:c>
      <x:c r="M19" s="41" t="str">
        <x:v>Chase Step Limit 1</x:v>
      </x:c>
      <x:c r="N19" s="41" t="str">
        <x:v>Owner #130 Chase Movement 1; time_limit; 0.8 -&gt; 0.9</x:v>
      </x:c>
      <x:c r="O19" s="41" t="str">
        <x:v>Set Decorator #133 Duration to 0.9; no other change</x:v>
      </x:c>
    </x:row>
    <x:row r="20">
      <x:c r="A20" s="41" t="str">
        <x:v>T017</x:v>
      </x:c>
      <x:c r="B20" s="41" t="str">
        <x:v>P01</x:v>
      </x:c>
      <x:c r="C20" s="41" t="str">
        <x:v>M1</x:v>
      </x:c>
      <x:c r="D20" s="41" t="str">
        <x:v>T1</x:v>
      </x:c>
      <x:c r="E20" s="84" t="n">
        <x:v>1</x:v>
      </x:c>
      <x:c r="F20" s="84" t="n">
        <x:v>3</x:v>
      </x:c>
      <x:c r="G20" s="84" t="n">
        <x:v>5</x:v>
      </x:c>
      <x:c r="H20" s="41" t="str">
        <x:v>Edit Decorator</x:v>
      </x:c>
      <x:c r="I20" s="41" t="str">
        <x:v>Search</x:v>
      </x:c>
      <x:c r="J20" s="84" t="n">
        <x:v>241</x:v>
      </x:c>
      <x:c r="K20" s="84" t="str">
        <x:v>return</x:v>
      </x:c>
      <x:c r="L20" s="84" t="n">
        <x:v>182</x:v>
      </x:c>
      <x:c r="M20" s="41" t="str">
        <x:v>Return Step Limit 1</x:v>
      </x:c>
      <x:c r="N20" s="41" t="str">
        <x:v>Owner #179 Return Movement 1; time_limit; 0.9 -&gt; 1</x:v>
      </x:c>
      <x:c r="O20" s="41" t="str">
        <x:v>Set Decorator #182 Duration to 1; no other change</x:v>
      </x:c>
    </x:row>
    <x:row r="21">
      <x:c r="A21" s="41" t="str">
        <x:v>T018</x:v>
      </x:c>
      <x:c r="B21" s="41" t="str">
        <x:v>P01</x:v>
      </x:c>
      <x:c r="C21" s="41" t="str">
        <x:v>M1</x:v>
      </x:c>
      <x:c r="D21" s="41" t="str">
        <x:v>T1</x:v>
      </x:c>
      <x:c r="E21" s="84" t="n">
        <x:v>1</x:v>
      </x:c>
      <x:c r="F21" s="84" t="n">
        <x:v>3</x:v>
      </x:c>
      <x:c r="G21" s="84" t="n">
        <x:v>6</x:v>
      </x:c>
      <x:c r="H21" s="41" t="str">
        <x:v>Edit Decorator</x:v>
      </x:c>
      <x:c r="I21" s="41" t="str">
        <x:v>Fisheye</x:v>
      </x:c>
      <x:c r="J21" s="84" t="n">
        <x:v>241</x:v>
      </x:c>
      <x:c r="K21" s="84" t="str">
        <x:v>search</x:v>
      </x:c>
      <x:c r="L21" s="84" t="n">
        <x:v>159</x:v>
      </x:c>
      <x:c r="M21" s="41" t="str">
        <x:v>Search Leg Limit 1</x:v>
      </x:c>
      <x:c r="N21" s="41" t="str">
        <x:v>Owner #156 Search Movement 1; time_limit; 1.25 -&gt; 1.35</x:v>
      </x:c>
      <x:c r="O21" s="41" t="str">
        <x:v>Set Decorator #159 Duration to 1.35; no other change</x:v>
      </x:c>
    </x:row>
    <x:row r="22">
      <x:c r="A22" s="41" t="str">
        <x:v>T019</x:v>
      </x:c>
      <x:c r="B22" s="41" t="str">
        <x:v>P02</x:v>
      </x:c>
      <x:c r="C22" s="41" t="str">
        <x:v>M2</x:v>
      </x:c>
      <x:c r="D22" s="41" t="str">
        <x:v>T2</x:v>
      </x:c>
      <x:c r="E22" s="84" t="n">
        <x:v>2</x:v>
      </x:c>
      <x:c r="F22" s="84" t="n">
        <x:v>1</x:v>
      </x:c>
      <x:c r="G22" s="84" t="n">
        <x:v>1</x:v>
      </x:c>
      <x:c r="H22" s="41" t="str">
        <x:v>Trace Active Path</x:v>
      </x:c>
      <x:c r="I22" s="41" t="str">
        <x:v>Compact</x:v>
      </x:c>
      <x:c r="J22" s="84" t="n">
        <x:v>241</x:v>
      </x:c>
      <x:c r="K22" s="84" t="str">
        <x:v>ranged</x:v>
      </x:c>
      <x:c r="L22" s="84" t="n">
        <x:v>101</x:v>
      </x:c>
      <x:c r="M22" s="41" t="str">
        <x:v>Fire Projectile 1</x:v>
      </x:c>
      <x:c r="N22" s="41" t="str">
        <x:v>Path 1 &gt; 2 &gt; 3 &gt; 95 &gt; 97 &gt; 98 &gt; 101</x:v>
      </x:c>
      <x:c r="O22" s="41" t="str">
        <x:v>Report Root &gt; Continuous Tactical Decisions &gt; Reactive Tactical Priority &gt; 6 Ranged Suppression &gt; Ranged Firing Pattern &gt; Ranged Pattern 1 &gt; Fire Projectile 1</x:v>
      </x:c>
    </x:row>
    <x:row r="23">
      <x:c r="A23" s="41" t="str">
        <x:v>T020</x:v>
      </x:c>
      <x:c r="B23" s="41" t="str">
        <x:v>P02</x:v>
      </x:c>
      <x:c r="C23" s="41" t="str">
        <x:v>M2</x:v>
      </x:c>
      <x:c r="D23" s="41" t="str">
        <x:v>T2</x:v>
      </x:c>
      <x:c r="E23" s="84" t="n">
        <x:v>2</x:v>
      </x:c>
      <x:c r="F23" s="84" t="n">
        <x:v>1</x:v>
      </x:c>
      <x:c r="G23" s="84" t="n">
        <x:v>2</x:v>
      </x:c>
      <x:c r="H23" s="41" t="str">
        <x:v>Trace Active Path</x:v>
      </x:c>
      <x:c r="I23" s="41" t="str">
        <x:v>Collapse</x:v>
      </x:c>
      <x:c r="J23" s="84" t="n">
        <x:v>241</x:v>
      </x:c>
      <x:c r="K23" s="84" t="str">
        <x:v>pressure</x:v>
      </x:c>
      <x:c r="L23" s="84" t="n">
        <x:v>113</x:v>
      </x:c>
      <x:c r="M23" s="41" t="str">
        <x:v>Pressure Advance 1</x:v>
      </x:c>
      <x:c r="N23" s="41" t="str">
        <x:v>Path 1 &gt; 2 &gt; 3 &gt; 107 &gt; 109 &gt; 110 &gt; 113</x:v>
      </x:c>
      <x:c r="O23" s="41" t="str">
        <x:v>Report Root &gt; Continuous Tactical Decisions &gt; Reactive Tactical Priority &gt; 7 Mid-Range Pressure &gt; Pressure Pattern &gt; Pressure Pattern 1 &gt; Pressure Advance 1</x:v>
      </x:c>
    </x:row>
    <x:row r="24">
      <x:c r="A24" s="41" t="str">
        <x:v>T021</x:v>
      </x:c>
      <x:c r="B24" s="41" t="str">
        <x:v>P02</x:v>
      </x:c>
      <x:c r="C24" s="41" t="str">
        <x:v>M2</x:v>
      </x:c>
      <x:c r="D24" s="41" t="str">
        <x:v>T2</x:v>
      </x:c>
      <x:c r="E24" s="84" t="n">
        <x:v>2</x:v>
      </x:c>
      <x:c r="F24" s="84" t="n">
        <x:v>1</x:v>
      </x:c>
      <x:c r="G24" s="84" t="n">
        <x:v>3</x:v>
      </x:c>
      <x:c r="H24" s="41" t="str">
        <x:v>Trace Active Path</x:v>
      </x:c>
      <x:c r="I24" s="41" t="str">
        <x:v>Baseline</x:v>
      </x:c>
      <x:c r="J24" s="84" t="n">
        <x:v>241</x:v>
      </x:c>
      <x:c r="K24" s="84" t="str">
        <x:v>vertical</x:v>
      </x:c>
      <x:c r="L24" s="84" t="n">
        <x:v>91</x:v>
      </x:c>
      <x:c r="M24" s="41" t="str">
        <x:v>Climb Ladder 1</x:v>
      </x:c>
      <x:c r="N24" s="41" t="str">
        <x:v>Path 1 &gt; 2 &gt; 3 &gt; 87 &gt; 89 &gt; 90 &gt; 91</x:v>
      </x:c>
      <x:c r="O24" s="41" t="str">
        <x:v>Report Root &gt; Continuous Tactical Decisions &gt; Reactive Tactical Priority &gt; 5 Vertical Pursuit &gt; Climb Approach &gt; Climb Route 1 &gt; Climb Ladder 1</x:v>
      </x:c>
    </x:row>
    <x:row r="25">
      <x:c r="A25" s="41" t="str">
        <x:v>T022</x:v>
      </x:c>
      <x:c r="B25" s="41" t="str">
        <x:v>P02</x:v>
      </x:c>
      <x:c r="C25" s="41" t="str">
        <x:v>M2</x:v>
      </x:c>
      <x:c r="D25" s="41" t="str">
        <x:v>T2</x:v>
      </x:c>
      <x:c r="E25" s="84" t="n">
        <x:v>2</x:v>
      </x:c>
      <x:c r="F25" s="84" t="n">
        <x:v>1</x:v>
      </x:c>
      <x:c r="G25" s="84" t="n">
        <x:v>4</x:v>
      </x:c>
      <x:c r="H25" s="41" t="str">
        <x:v>Trace Active Path</x:v>
      </x:c>
      <x:c r="I25" s="41" t="str">
        <x:v>Fisheye</x:v>
      </x:c>
      <x:c r="J25" s="84" t="n">
        <x:v>241</x:v>
      </x:c>
      <x:c r="K25" s="84" t="str">
        <x:v>search</x:v>
      </x:c>
      <x:c r="L25" s="84" t="n">
        <x:v>156</x:v>
      </x:c>
      <x:c r="M25" s="41" t="str">
        <x:v>Search Movement 1</x:v>
      </x:c>
      <x:c r="N25" s="41" t="str">
        <x:v>Path 1 &gt; 2 &gt; 3 &gt; 152 &gt; 154 &gt; 155 &gt; 156</x:v>
      </x:c>
      <x:c r="O25" s="41" t="str">
        <x:v>Report Root &gt; Continuous Tactical Decisions &gt; Reactive Tactical Priority &gt; 9 Last-Known-Position Search &gt; Search Pattern &gt; Search Pattern 1 &gt; Search Movement 1</x:v>
      </x:c>
    </x:row>
    <x:row r="26">
      <x:c r="A26" s="41" t="str">
        <x:v>T023</x:v>
      </x:c>
      <x:c r="B26" s="41" t="str">
        <x:v>P02</x:v>
      </x:c>
      <x:c r="C26" s="41" t="str">
        <x:v>M2</x:v>
      </x:c>
      <x:c r="D26" s="41" t="str">
        <x:v>T2</x:v>
      </x:c>
      <x:c r="E26" s="84" t="n">
        <x:v>2</x:v>
      </x:c>
      <x:c r="F26" s="84" t="n">
        <x:v>1</x:v>
      </x:c>
      <x:c r="G26" s="84" t="n">
        <x:v>5</x:v>
      </x:c>
      <x:c r="H26" s="41" t="str">
        <x:v>Trace Active Path</x:v>
      </x:c>
      <x:c r="I26" s="41" t="str">
        <x:v>Minimap</x:v>
      </x:c>
      <x:c r="J26" s="84" t="n">
        <x:v>241</x:v>
      </x:c>
      <x:c r="K26" s="84" t="str">
        <x:v>obstacle</x:v>
      </x:c>
      <x:c r="L26" s="84" t="n">
        <x:v>83</x:v>
      </x:c>
      <x:c r="M26" s="41" t="str">
        <x:v>Jump Obstacle 1</x:v>
      </x:c>
      <x:c r="N26" s="41" t="str">
        <x:v>Path 1 &gt; 2 &gt; 3 &gt; 79 &gt; 81 &gt; 82 &gt; 83</x:v>
      </x:c>
      <x:c r="O26" s="41" t="str">
        <x:v>Report Root &gt; Continuous Tactical Decisions &gt; Reactive Tactical Priority &gt; 4 Obstacle Traversal &gt; Obstacle Solution &gt; Vault Route 1 &gt; Jump Obstacle 1</x:v>
      </x:c>
    </x:row>
    <x:row r="27">
      <x:c r="A27" s="41" t="str">
        <x:v>T024</x:v>
      </x:c>
      <x:c r="B27" s="41" t="str">
        <x:v>P02</x:v>
      </x:c>
      <x:c r="C27" s="41" t="str">
        <x:v>M2</x:v>
      </x:c>
      <x:c r="D27" s="41" t="str">
        <x:v>T2</x:v>
      </x:c>
      <x:c r="E27" s="84" t="n">
        <x:v>2</x:v>
      </x:c>
      <x:c r="F27" s="84" t="n">
        <x:v>1</x:v>
      </x:c>
      <x:c r="G27" s="84" t="n">
        <x:v>6</x:v>
      </x:c>
      <x:c r="H27" s="41" t="str">
        <x:v>Trace Active Path</x:v>
      </x:c>
      <x:c r="I27" s="41" t="str">
        <x:v>Search</x:v>
      </x:c>
      <x:c r="J27" s="84" t="n">
        <x:v>241</x:v>
      </x:c>
      <x:c r="K27" s="84" t="str">
        <x:v>patrol</x:v>
      </x:c>
      <x:c r="L27" s="84" t="n">
        <x:v>201</x:v>
      </x:c>
      <x:c r="M27" s="41" t="str">
        <x:v>Observe Patrol Point 1</x:v>
      </x:c>
      <x:c r="N27" s="41" t="str">
        <x:v>Path 1 &gt; 2 &gt; 3 &gt; 193 &gt; 196 &gt; 197 &gt; 201</x:v>
      </x:c>
      <x:c r="O27" s="41" t="str">
        <x:v>Report Root &gt; Continuous Tactical Decisions &gt; Reactive Tactical Priority &gt; 11 Layered Patrol &gt; Patrol Route Choice &gt; Patrol Route 1 &gt; Observe Patrol Point 1</x:v>
      </x:c>
    </x:row>
    <x:row r="28">
      <x:c r="A28" s="41" t="str">
        <x:v>T025</x:v>
      </x:c>
      <x:c r="B28" s="41" t="str">
        <x:v>P02</x:v>
      </x:c>
      <x:c r="C28" s="41" t="str">
        <x:v>M2</x:v>
      </x:c>
      <x:c r="D28" s="41" t="str">
        <x:v>T2</x:v>
      </x:c>
      <x:c r="E28" s="84" t="n">
        <x:v>2</x:v>
      </x:c>
      <x:c r="F28" s="84" t="n">
        <x:v>2</x:v>
      </x:c>
      <x:c r="G28" s="84" t="n">
        <x:v>1</x:v>
      </x:c>
      <x:c r="H28" s="41" t="str">
        <x:v>Edit Decorator</x:v>
      </x:c>
      <x:c r="I28" s="41" t="str">
        <x:v>Compact</x:v>
      </x:c>
      <x:c r="J28" s="84" t="n">
        <x:v>241</x:v>
      </x:c>
      <x:c r="K28" s="84" t="str">
        <x:v>chase</x:v>
      </x:c>
      <x:c r="L28" s="84" t="n">
        <x:v>133</x:v>
      </x:c>
      <x:c r="M28" s="41" t="str">
        <x:v>Chase Step Limit 1</x:v>
      </x:c>
      <x:c r="N28" s="41" t="str">
        <x:v>Owner #130 Chase Movement 1; time_limit; 0.8 -&gt; 0.9</x:v>
      </x:c>
      <x:c r="O28" s="41" t="str">
        <x:v>Set Decorator #133 Duration to 0.9; no other change</x:v>
      </x:c>
    </x:row>
    <x:row r="29">
      <x:c r="A29" s="41" t="str">
        <x:v>T026</x:v>
      </x:c>
      <x:c r="B29" s="41" t="str">
        <x:v>P02</x:v>
      </x:c>
      <x:c r="C29" s="41" t="str">
        <x:v>M2</x:v>
      </x:c>
      <x:c r="D29" s="41" t="str">
        <x:v>T2</x:v>
      </x:c>
      <x:c r="E29" s="84" t="n">
        <x:v>2</x:v>
      </x:c>
      <x:c r="F29" s="84" t="n">
        <x:v>2</x:v>
      </x:c>
      <x:c r="G29" s="84" t="n">
        <x:v>2</x:v>
      </x:c>
      <x:c r="H29" s="41" t="str">
        <x:v>Edit Decorator</x:v>
      </x:c>
      <x:c r="I29" s="41" t="str">
        <x:v>Collapse</x:v>
      </x:c>
      <x:c r="J29" s="84" t="n">
        <x:v>241</x:v>
      </x:c>
      <x:c r="K29" s="84" t="str">
        <x:v>search</x:v>
      </x:c>
      <x:c r="L29" s="84" t="n">
        <x:v>159</x:v>
      </x:c>
      <x:c r="M29" s="41" t="str">
        <x:v>Search Leg Limit 1</x:v>
      </x:c>
      <x:c r="N29" s="41" t="str">
        <x:v>Owner #156 Search Movement 1; time_limit; 1.25 -&gt; 1.35</x:v>
      </x:c>
      <x:c r="O29" s="41" t="str">
        <x:v>Set Decorator #159 Duration to 1.35; no other change</x:v>
      </x:c>
    </x:row>
    <x:row r="30">
      <x:c r="A30" s="41" t="str">
        <x:v>T027</x:v>
      </x:c>
      <x:c r="B30" s="41" t="str">
        <x:v>P02</x:v>
      </x:c>
      <x:c r="C30" s="41" t="str">
        <x:v>M2</x:v>
      </x:c>
      <x:c r="D30" s="41" t="str">
        <x:v>T2</x:v>
      </x:c>
      <x:c r="E30" s="84" t="n">
        <x:v>2</x:v>
      </x:c>
      <x:c r="F30" s="84" t="n">
        <x:v>2</x:v>
      </x:c>
      <x:c r="G30" s="84" t="n">
        <x:v>3</x:v>
      </x:c>
      <x:c r="H30" s="41" t="str">
        <x:v>Edit Decorator</x:v>
      </x:c>
      <x:c r="I30" s="41" t="str">
        <x:v>Baseline</x:v>
      </x:c>
      <x:c r="J30" s="84" t="n">
        <x:v>241</x:v>
      </x:c>
      <x:c r="K30" s="84" t="str">
        <x:v>pressure</x:v>
      </x:c>
      <x:c r="L30" s="84" t="n">
        <x:v>114</x:v>
      </x:c>
      <x:c r="M30" s="41" t="str">
        <x:v>Pressure Cooldown 1</x:v>
      </x:c>
      <x:c r="N30" s="41" t="str">
        <x:v>Owner #111 Pressure Reposition 1; cooldown; 0.35 -&gt; 0.45</x:v>
      </x:c>
      <x:c r="O30" s="41" t="str">
        <x:v>Set Decorator #114 Duration to 0.45; no other change</x:v>
      </x:c>
    </x:row>
    <x:row r="31">
      <x:c r="A31" s="41" t="str">
        <x:v>T028</x:v>
      </x:c>
      <x:c r="B31" s="41" t="str">
        <x:v>P02</x:v>
      </x:c>
      <x:c r="C31" s="41" t="str">
        <x:v>M2</x:v>
      </x:c>
      <x:c r="D31" s="41" t="str">
        <x:v>T2</x:v>
      </x:c>
      <x:c r="E31" s="84" t="n">
        <x:v>2</x:v>
      </x:c>
      <x:c r="F31" s="84" t="n">
        <x:v>2</x:v>
      </x:c>
      <x:c r="G31" s="84" t="n">
        <x:v>4</x:v>
      </x:c>
      <x:c r="H31" s="41" t="str">
        <x:v>Edit Decorator</x:v>
      </x:c>
      <x:c r="I31" s="41" t="str">
        <x:v>Fisheye</x:v>
      </x:c>
      <x:c r="J31" s="84" t="n">
        <x:v>241</x:v>
      </x:c>
      <x:c r="K31" s="84" t="str">
        <x:v>return</x:v>
      </x:c>
      <x:c r="L31" s="84" t="n">
        <x:v>182</x:v>
      </x:c>
      <x:c r="M31" s="41" t="str">
        <x:v>Return Step Limit 1</x:v>
      </x:c>
      <x:c r="N31" s="41" t="str">
        <x:v>Owner #179 Return Movement 1; time_limit; 0.9 -&gt; 1</x:v>
      </x:c>
      <x:c r="O31" s="41" t="str">
        <x:v>Set Decorator #182 Duration to 1; no other change</x:v>
      </x:c>
    </x:row>
    <x:row r="32">
      <x:c r="A32" s="41" t="str">
        <x:v>T029</x:v>
      </x:c>
      <x:c r="B32" s="41" t="str">
        <x:v>P02</x:v>
      </x:c>
      <x:c r="C32" s="41" t="str">
        <x:v>M2</x:v>
      </x:c>
      <x:c r="D32" s="41" t="str">
        <x:v>T2</x:v>
      </x:c>
      <x:c r="E32" s="84" t="n">
        <x:v>2</x:v>
      </x:c>
      <x:c r="F32" s="84" t="n">
        <x:v>2</x:v>
      </x:c>
      <x:c r="G32" s="84" t="n">
        <x:v>5</x:v>
      </x:c>
      <x:c r="H32" s="41" t="str">
        <x:v>Edit Decorator</x:v>
      </x:c>
      <x:c r="I32" s="41" t="str">
        <x:v>Minimap</x:v>
      </x:c>
      <x:c r="J32" s="84" t="n">
        <x:v>241</x:v>
      </x:c>
      <x:c r="K32" s="84" t="str">
        <x:v>defense</x:v>
      </x:c>
      <x:c r="L32" s="84" t="n">
        <x:v>31</x:v>
      </x:c>
      <x:c r="M32" s="41" t="str">
        <x:v>Defense Cooldown 1</x:v>
      </x:c>
      <x:c r="N32" s="41" t="str">
        <x:v>Owner #29 Dodge Left; cooldown; 0.45 -&gt; 0.55</x:v>
      </x:c>
      <x:c r="O32" s="41" t="str">
        <x:v>Set Decorator #31 Duration to 0.55; no other change</x:v>
      </x:c>
    </x:row>
    <x:row r="33">
      <x:c r="A33" s="41" t="str">
        <x:v>T030</x:v>
      </x:c>
      <x:c r="B33" s="41" t="str">
        <x:v>P02</x:v>
      </x:c>
      <x:c r="C33" s="41" t="str">
        <x:v>M2</x:v>
      </x:c>
      <x:c r="D33" s="41" t="str">
        <x:v>T2</x:v>
      </x:c>
      <x:c r="E33" s="84" t="n">
        <x:v>2</x:v>
      </x:c>
      <x:c r="F33" s="84" t="n">
        <x:v>2</x:v>
      </x:c>
      <x:c r="G33" s="84" t="n">
        <x:v>6</x:v>
      </x:c>
      <x:c r="H33" s="41" t="str">
        <x:v>Edit Decorator</x:v>
      </x:c>
      <x:c r="I33" s="41" t="str">
        <x:v>Search</x:v>
      </x:c>
      <x:c r="J33" s="84" t="n">
        <x:v>241</x:v>
      </x:c>
      <x:c r="K33" s="84" t="str">
        <x:v>patrol</x:v>
      </x:c>
      <x:c r="L33" s="84" t="n">
        <x:v>202</x:v>
      </x:c>
      <x:c r="M33" s="41" t="str">
        <x:v>Patrol Leg Limit 1</x:v>
      </x:c>
      <x:c r="N33" s="41" t="str">
        <x:v>Owner #199 Patrol Movement 1; time_limit; 1.5 -&gt; 1.6</x:v>
      </x:c>
      <x:c r="O33" s="41" t="str">
        <x:v>Set Decorator #202 Duration to 1.6; no other change</x:v>
      </x:c>
    </x:row>
    <x:row r="34">
      <x:c r="A34" s="41" t="str">
        <x:v>T031</x:v>
      </x:c>
      <x:c r="B34" s="41" t="str">
        <x:v>P02</x:v>
      </x:c>
      <x:c r="C34" s="41" t="str">
        <x:v>M2</x:v>
      </x:c>
      <x:c r="D34" s="41" t="str">
        <x:v>T2</x:v>
      </x:c>
      <x:c r="E34" s="84" t="n">
        <x:v>2</x:v>
      </x:c>
      <x:c r="F34" s="84" t="n">
        <x:v>3</x:v>
      </x:c>
      <x:c r="G34" s="84" t="n">
        <x:v>1</x:v>
      </x:c>
      <x:c r="H34" s="41" t="str">
        <x:v>Locate Action</x:v>
      </x:c>
      <x:c r="I34" s="41" t="str">
        <x:v>Compact</x:v>
      </x:c>
      <x:c r="J34" s="84" t="n">
        <x:v>241</x:v>
      </x:c>
      <x:c r="K34" s="84" t="str">
        <x:v>ranged</x:v>
      </x:c>
      <x:c r="L34" s="84" t="n">
        <x:v>101</x:v>
      </x:c>
      <x:c r="M34" s="41" t="str">
        <x:v>Fire Projectile 1</x:v>
      </x:c>
      <x:c r="N34" s="41" t="str">
        <x:v>Path 1 &gt; 2 &gt; 3 &gt; 95 &gt; 97 &gt; 98 &gt; 101</x:v>
      </x:c>
      <x:c r="O34" s="41" t="str">
        <x:v>Select #101 Fire Projectile 1</x:v>
      </x:c>
    </x:row>
    <x:row r="35">
      <x:c r="A35" s="41" t="str">
        <x:v>T032</x:v>
      </x:c>
      <x:c r="B35" s="41" t="str">
        <x:v>P02</x:v>
      </x:c>
      <x:c r="C35" s="41" t="str">
        <x:v>M2</x:v>
      </x:c>
      <x:c r="D35" s="41" t="str">
        <x:v>T2</x:v>
      </x:c>
      <x:c r="E35" s="84" t="n">
        <x:v>2</x:v>
      </x:c>
      <x:c r="F35" s="84" t="n">
        <x:v>3</x:v>
      </x:c>
      <x:c r="G35" s="84" t="n">
        <x:v>2</x:v>
      </x:c>
      <x:c r="H35" s="41" t="str">
        <x:v>Locate Action</x:v>
      </x:c>
      <x:c r="I35" s="41" t="str">
        <x:v>Collapse</x:v>
      </x:c>
      <x:c r="J35" s="84" t="n">
        <x:v>241</x:v>
      </x:c>
      <x:c r="K35" s="84" t="str">
        <x:v>pressure</x:v>
      </x:c>
      <x:c r="L35" s="84" t="n">
        <x:v>113</x:v>
      </x:c>
      <x:c r="M35" s="41" t="str">
        <x:v>Pressure Advance 1</x:v>
      </x:c>
      <x:c r="N35" s="41" t="str">
        <x:v>Path 1 &gt; 2 &gt; 3 &gt; 107 &gt; 109 &gt; 110 &gt; 113</x:v>
      </x:c>
      <x:c r="O35" s="41" t="str">
        <x:v>Select #113 Pressure Advance 1</x:v>
      </x:c>
    </x:row>
    <x:row r="36">
      <x:c r="A36" s="41" t="str">
        <x:v>T033</x:v>
      </x:c>
      <x:c r="B36" s="41" t="str">
        <x:v>P02</x:v>
      </x:c>
      <x:c r="C36" s="41" t="str">
        <x:v>M2</x:v>
      </x:c>
      <x:c r="D36" s="41" t="str">
        <x:v>T2</x:v>
      </x:c>
      <x:c r="E36" s="84" t="n">
        <x:v>2</x:v>
      </x:c>
      <x:c r="F36" s="84" t="n">
        <x:v>3</x:v>
      </x:c>
      <x:c r="G36" s="84" t="n">
        <x:v>3</x:v>
      </x:c>
      <x:c r="H36" s="41" t="str">
        <x:v>Locate Action</x:v>
      </x:c>
      <x:c r="I36" s="41" t="str">
        <x:v>Baseline</x:v>
      </x:c>
      <x:c r="J36" s="84" t="n">
        <x:v>241</x:v>
      </x:c>
      <x:c r="K36" s="84" t="str">
        <x:v>vertical</x:v>
      </x:c>
      <x:c r="L36" s="84" t="n">
        <x:v>91</x:v>
      </x:c>
      <x:c r="M36" s="41" t="str">
        <x:v>Climb Ladder 1</x:v>
      </x:c>
      <x:c r="N36" s="41" t="str">
        <x:v>Path 1 &gt; 2 &gt; 3 &gt; 87 &gt; 89 &gt; 90 &gt; 91</x:v>
      </x:c>
      <x:c r="O36" s="41" t="str">
        <x:v>Select #91 Climb Ladder 1</x:v>
      </x:c>
    </x:row>
    <x:row r="37">
      <x:c r="A37" s="41" t="str">
        <x:v>T034</x:v>
      </x:c>
      <x:c r="B37" s="41" t="str">
        <x:v>P02</x:v>
      </x:c>
      <x:c r="C37" s="41" t="str">
        <x:v>M2</x:v>
      </x:c>
      <x:c r="D37" s="41" t="str">
        <x:v>T2</x:v>
      </x:c>
      <x:c r="E37" s="84" t="n">
        <x:v>2</x:v>
      </x:c>
      <x:c r="F37" s="84" t="n">
        <x:v>3</x:v>
      </x:c>
      <x:c r="G37" s="84" t="n">
        <x:v>4</x:v>
      </x:c>
      <x:c r="H37" s="41" t="str">
        <x:v>Locate Action</x:v>
      </x:c>
      <x:c r="I37" s="41" t="str">
        <x:v>Fisheye</x:v>
      </x:c>
      <x:c r="J37" s="84" t="n">
        <x:v>241</x:v>
      </x:c>
      <x:c r="K37" s="84" t="str">
        <x:v>search</x:v>
      </x:c>
      <x:c r="L37" s="84" t="n">
        <x:v>156</x:v>
      </x:c>
      <x:c r="M37" s="41" t="str">
        <x:v>Search Movement 1</x:v>
      </x:c>
      <x:c r="N37" s="41" t="str">
        <x:v>Path 1 &gt; 2 &gt; 3 &gt; 152 &gt; 154 &gt; 155 &gt; 156</x:v>
      </x:c>
      <x:c r="O37" s="41" t="str">
        <x:v>Select #156 Search Movement 1</x:v>
      </x:c>
    </x:row>
    <x:row r="38">
      <x:c r="A38" s="41" t="str">
        <x:v>T035</x:v>
      </x:c>
      <x:c r="B38" s="41" t="str">
        <x:v>P02</x:v>
      </x:c>
      <x:c r="C38" s="41" t="str">
        <x:v>M2</x:v>
      </x:c>
      <x:c r="D38" s="41" t="str">
        <x:v>T2</x:v>
      </x:c>
      <x:c r="E38" s="84" t="n">
        <x:v>2</x:v>
      </x:c>
      <x:c r="F38" s="84" t="n">
        <x:v>3</x:v>
      </x:c>
      <x:c r="G38" s="84" t="n">
        <x:v>5</x:v>
      </x:c>
      <x:c r="H38" s="41" t="str">
        <x:v>Locate Action</x:v>
      </x:c>
      <x:c r="I38" s="41" t="str">
        <x:v>Minimap</x:v>
      </x:c>
      <x:c r="J38" s="84" t="n">
        <x:v>241</x:v>
      </x:c>
      <x:c r="K38" s="84" t="str">
        <x:v>obstacle</x:v>
      </x:c>
      <x:c r="L38" s="84" t="n">
        <x:v>83</x:v>
      </x:c>
      <x:c r="M38" s="41" t="str">
        <x:v>Jump Obstacle 1</x:v>
      </x:c>
      <x:c r="N38" s="41" t="str">
        <x:v>Path 1 &gt; 2 &gt; 3 &gt; 79 &gt; 81 &gt; 82 &gt; 83</x:v>
      </x:c>
      <x:c r="O38" s="41" t="str">
        <x:v>Select #83 Jump Obstacle 1</x:v>
      </x:c>
    </x:row>
    <x:row r="39">
      <x:c r="A39" s="41" t="str">
        <x:v>T036</x:v>
      </x:c>
      <x:c r="B39" s="41" t="str">
        <x:v>P02</x:v>
      </x:c>
      <x:c r="C39" s="41" t="str">
        <x:v>M2</x:v>
      </x:c>
      <x:c r="D39" s="41" t="str">
        <x:v>T2</x:v>
      </x:c>
      <x:c r="E39" s="84" t="n">
        <x:v>2</x:v>
      </x:c>
      <x:c r="F39" s="84" t="n">
        <x:v>3</x:v>
      </x:c>
      <x:c r="G39" s="84" t="n">
        <x:v>6</x:v>
      </x:c>
      <x:c r="H39" s="41" t="str">
        <x:v>Locate Action</x:v>
      </x:c>
      <x:c r="I39" s="41" t="str">
        <x:v>Search</x:v>
      </x:c>
      <x:c r="J39" s="84" t="n">
        <x:v>241</x:v>
      </x:c>
      <x:c r="K39" s="84" t="str">
        <x:v>patrol</x:v>
      </x:c>
      <x:c r="L39" s="84" t="n">
        <x:v>201</x:v>
      </x:c>
      <x:c r="M39" s="41" t="str">
        <x:v>Observe Patrol Point 1</x:v>
      </x:c>
      <x:c r="N39" s="41" t="str">
        <x:v>Path 1 &gt; 2 &gt; 3 &gt; 193 &gt; 196 &gt; 197 &gt; 201</x:v>
      </x:c>
      <x:c r="O39" s="41" t="str">
        <x:v>Select #201 Observe Patrol Point 1</x:v>
      </x:c>
    </x:row>
    <x:row r="40">
      <x:c r="A40" s="41" t="str">
        <x:v>T037</x:v>
      </x:c>
      <x:c r="B40" s="41" t="str">
        <x:v>P03</x:v>
      </x:c>
      <x:c r="C40" s="41" t="str">
        <x:v>M3</x:v>
      </x:c>
      <x:c r="D40" s="41" t="str">
        <x:v>T3</x:v>
      </x:c>
      <x:c r="E40" s="84" t="n">
        <x:v>3</x:v>
      </x:c>
      <x:c r="F40" s="84" t="n">
        <x:v>1</x:v>
      </x:c>
      <x:c r="G40" s="84" t="n">
        <x:v>1</x:v>
      </x:c>
      <x:c r="H40" s="41" t="str">
        <x:v>Edit Decorator</x:v>
      </x:c>
      <x:c r="I40" s="41" t="str">
        <x:v>Collapse</x:v>
      </x:c>
      <x:c r="J40" s="84" t="n">
        <x:v>241</x:v>
      </x:c>
      <x:c r="K40" s="84" t="str">
        <x:v>return</x:v>
      </x:c>
      <x:c r="L40" s="84" t="n">
        <x:v>182</x:v>
      </x:c>
      <x:c r="M40" s="41" t="str">
        <x:v>Return Step Limit 1</x:v>
      </x:c>
      <x:c r="N40" s="41" t="str">
        <x:v>Owner #179 Return Movement 1; time_limit; 0.9 -&gt; 1</x:v>
      </x:c>
      <x:c r="O40" s="41" t="str">
        <x:v>Set Decorator #182 Duration to 1; no other change</x:v>
      </x:c>
    </x:row>
    <x:row r="41">
      <x:c r="A41" s="41" t="str">
        <x:v>T038</x:v>
      </x:c>
      <x:c r="B41" s="41" t="str">
        <x:v>P03</x:v>
      </x:c>
      <x:c r="C41" s="41" t="str">
        <x:v>M3</x:v>
      </x:c>
      <x:c r="D41" s="41" t="str">
        <x:v>T3</x:v>
      </x:c>
      <x:c r="E41" s="84" t="n">
        <x:v>3</x:v>
      </x:c>
      <x:c r="F41" s="84" t="n">
        <x:v>1</x:v>
      </x:c>
      <x:c r="G41" s="84" t="n">
        <x:v>2</x:v>
      </x:c>
      <x:c r="H41" s="41" t="str">
        <x:v>Edit Decorator</x:v>
      </x:c>
      <x:c r="I41" s="41" t="str">
        <x:v>Fisheye</x:v>
      </x:c>
      <x:c r="J41" s="84" t="n">
        <x:v>241</x:v>
      </x:c>
      <x:c r="K41" s="84" t="str">
        <x:v>patrol</x:v>
      </x:c>
      <x:c r="L41" s="84" t="n">
        <x:v>202</x:v>
      </x:c>
      <x:c r="M41" s="41" t="str">
        <x:v>Patrol Leg Limit 1</x:v>
      </x:c>
      <x:c r="N41" s="41" t="str">
        <x:v>Owner #199 Patrol Movement 1; time_limit; 1.5 -&gt; 1.6</x:v>
      </x:c>
      <x:c r="O41" s="41" t="str">
        <x:v>Set Decorator #202 Duration to 1.6; no other change</x:v>
      </x:c>
    </x:row>
    <x:row r="42">
      <x:c r="A42" s="41" t="str">
        <x:v>T039</x:v>
      </x:c>
      <x:c r="B42" s="41" t="str">
        <x:v>P03</x:v>
      </x:c>
      <x:c r="C42" s="41" t="str">
        <x:v>M3</x:v>
      </x:c>
      <x:c r="D42" s="41" t="str">
        <x:v>T3</x:v>
      </x:c>
      <x:c r="E42" s="84" t="n">
        <x:v>3</x:v>
      </x:c>
      <x:c r="F42" s="84" t="n">
        <x:v>1</x:v>
      </x:c>
      <x:c r="G42" s="84" t="n">
        <x:v>3</x:v>
      </x:c>
      <x:c r="H42" s="41" t="str">
        <x:v>Edit Decorator</x:v>
      </x:c>
      <x:c r="I42" s="41" t="str">
        <x:v>Compact</x:v>
      </x:c>
      <x:c r="J42" s="84" t="n">
        <x:v>241</x:v>
      </x:c>
      <x:c r="K42" s="84" t="str">
        <x:v>search</x:v>
      </x:c>
      <x:c r="L42" s="84" t="n">
        <x:v>159</x:v>
      </x:c>
      <x:c r="M42" s="41" t="str">
        <x:v>Search Leg Limit 1</x:v>
      </x:c>
      <x:c r="N42" s="41" t="str">
        <x:v>Owner #156 Search Movement 1; time_limit; 1.25 -&gt; 1.35</x:v>
      </x:c>
      <x:c r="O42" s="41" t="str">
        <x:v>Set Decorator #159 Duration to 1.35; no other change</x:v>
      </x:c>
    </x:row>
    <x:row r="43">
      <x:c r="A43" s="41" t="str">
        <x:v>T040</x:v>
      </x:c>
      <x:c r="B43" s="41" t="str">
        <x:v>P03</x:v>
      </x:c>
      <x:c r="C43" s="41" t="str">
        <x:v>M3</x:v>
      </x:c>
      <x:c r="D43" s="41" t="str">
        <x:v>T3</x:v>
      </x:c>
      <x:c r="E43" s="84" t="n">
        <x:v>3</x:v>
      </x:c>
      <x:c r="F43" s="84" t="n">
        <x:v>1</x:v>
      </x:c>
      <x:c r="G43" s="84" t="n">
        <x:v>4</x:v>
      </x:c>
      <x:c r="H43" s="41" t="str">
        <x:v>Edit Decorator</x:v>
      </x:c>
      <x:c r="I43" s="41" t="str">
        <x:v>Search</x:v>
      </x:c>
      <x:c r="J43" s="84" t="n">
        <x:v>241</x:v>
      </x:c>
      <x:c r="K43" s="84" t="str">
        <x:v>defense</x:v>
      </x:c>
      <x:c r="L43" s="84" t="n">
        <x:v>31</x:v>
      </x:c>
      <x:c r="M43" s="41" t="str">
        <x:v>Defense Cooldown 1</x:v>
      </x:c>
      <x:c r="N43" s="41" t="str">
        <x:v>Owner #29 Dodge Left; cooldown; 0.45 -&gt; 0.55</x:v>
      </x:c>
      <x:c r="O43" s="41" t="str">
        <x:v>Set Decorator #31 Duration to 0.55; no other change</x:v>
      </x:c>
    </x:row>
    <x:row r="44">
      <x:c r="A44" s="41" t="str">
        <x:v>T041</x:v>
      </x:c>
      <x:c r="B44" s="41" t="str">
        <x:v>P03</x:v>
      </x:c>
      <x:c r="C44" s="41" t="str">
        <x:v>M3</x:v>
      </x:c>
      <x:c r="D44" s="41" t="str">
        <x:v>T3</x:v>
      </x:c>
      <x:c r="E44" s="84" t="n">
        <x:v>3</x:v>
      </x:c>
      <x:c r="F44" s="84" t="n">
        <x:v>1</x:v>
      </x:c>
      <x:c r="G44" s="84" t="n">
        <x:v>5</x:v>
      </x:c>
      <x:c r="H44" s="41" t="str">
        <x:v>Edit Decorator</x:v>
      </x:c>
      <x:c r="I44" s="41" t="str">
        <x:v>Baseline</x:v>
      </x:c>
      <x:c r="J44" s="84" t="n">
        <x:v>241</x:v>
      </x:c>
      <x:c r="K44" s="84" t="str">
        <x:v>chase</x:v>
      </x:c>
      <x:c r="L44" s="84" t="n">
        <x:v>133</x:v>
      </x:c>
      <x:c r="M44" s="41" t="str">
        <x:v>Chase Step Limit 1</x:v>
      </x:c>
      <x:c r="N44" s="41" t="str">
        <x:v>Owner #130 Chase Movement 1; time_limit; 0.8 -&gt; 0.9</x:v>
      </x:c>
      <x:c r="O44" s="41" t="str">
        <x:v>Set Decorator #133 Duration to 0.9; no other change</x:v>
      </x:c>
    </x:row>
    <x:row r="45">
      <x:c r="A45" s="41" t="str">
        <x:v>T042</x:v>
      </x:c>
      <x:c r="B45" s="41" t="str">
        <x:v>P03</x:v>
      </x:c>
      <x:c r="C45" s="41" t="str">
        <x:v>M3</x:v>
      </x:c>
      <x:c r="D45" s="41" t="str">
        <x:v>T3</x:v>
      </x:c>
      <x:c r="E45" s="84" t="n">
        <x:v>3</x:v>
      </x:c>
      <x:c r="F45" s="84" t="n">
        <x:v>1</x:v>
      </x:c>
      <x:c r="G45" s="84" t="n">
        <x:v>6</x:v>
      </x:c>
      <x:c r="H45" s="41" t="str">
        <x:v>Edit Decorator</x:v>
      </x:c>
      <x:c r="I45" s="41" t="str">
        <x:v>Minimap</x:v>
      </x:c>
      <x:c r="J45" s="84" t="n">
        <x:v>241</x:v>
      </x:c>
      <x:c r="K45" s="84" t="str">
        <x:v>pressure</x:v>
      </x:c>
      <x:c r="L45" s="84" t="n">
        <x:v>114</x:v>
      </x:c>
      <x:c r="M45" s="41" t="str">
        <x:v>Pressure Cooldown 1</x:v>
      </x:c>
      <x:c r="N45" s="41" t="str">
        <x:v>Owner #111 Pressure Reposition 1; cooldown; 0.35 -&gt; 0.45</x:v>
      </x:c>
      <x:c r="O45" s="41" t="str">
        <x:v>Set Decorator #114 Duration to 0.45; no other change</x:v>
      </x:c>
    </x:row>
    <x:row r="46">
      <x:c r="A46" s="41" t="str">
        <x:v>T043</x:v>
      </x:c>
      <x:c r="B46" s="41" t="str">
        <x:v>P03</x:v>
      </x:c>
      <x:c r="C46" s="41" t="str">
        <x:v>M3</x:v>
      </x:c>
      <x:c r="D46" s="41" t="str">
        <x:v>T3</x:v>
      </x:c>
      <x:c r="E46" s="84" t="n">
        <x:v>3</x:v>
      </x:c>
      <x:c r="F46" s="84" t="n">
        <x:v>2</x:v>
      </x:c>
      <x:c r="G46" s="84" t="n">
        <x:v>1</x:v>
      </x:c>
      <x:c r="H46" s="41" t="str">
        <x:v>Locate Action</x:v>
      </x:c>
      <x:c r="I46" s="41" t="str">
        <x:v>Collapse</x:v>
      </x:c>
      <x:c r="J46" s="84" t="n">
        <x:v>241</x:v>
      </x:c>
      <x:c r="K46" s="84" t="str">
        <x:v>search</x:v>
      </x:c>
      <x:c r="L46" s="84" t="n">
        <x:v>156</x:v>
      </x:c>
      <x:c r="M46" s="41" t="str">
        <x:v>Search Movement 1</x:v>
      </x:c>
      <x:c r="N46" s="41" t="str">
        <x:v>Path 1 &gt; 2 &gt; 3 &gt; 152 &gt; 154 &gt; 155 &gt; 156</x:v>
      </x:c>
      <x:c r="O46" s="41" t="str">
        <x:v>Select #156 Search Movement 1</x:v>
      </x:c>
    </x:row>
    <x:row r="47">
      <x:c r="A47" s="41" t="str">
        <x:v>T044</x:v>
      </x:c>
      <x:c r="B47" s="41" t="str">
        <x:v>P03</x:v>
      </x:c>
      <x:c r="C47" s="41" t="str">
        <x:v>M3</x:v>
      </x:c>
      <x:c r="D47" s="41" t="str">
        <x:v>T3</x:v>
      </x:c>
      <x:c r="E47" s="84" t="n">
        <x:v>3</x:v>
      </x:c>
      <x:c r="F47" s="84" t="n">
        <x:v>2</x:v>
      </x:c>
      <x:c r="G47" s="84" t="n">
        <x:v>2</x:v>
      </x:c>
      <x:c r="H47" s="41" t="str">
        <x:v>Locate Action</x:v>
      </x:c>
      <x:c r="I47" s="41" t="str">
        <x:v>Fisheye</x:v>
      </x:c>
      <x:c r="J47" s="84" t="n">
        <x:v>241</x:v>
      </x:c>
      <x:c r="K47" s="84" t="str">
        <x:v>patrol</x:v>
      </x:c>
      <x:c r="L47" s="84" t="n">
        <x:v>201</x:v>
      </x:c>
      <x:c r="M47" s="41" t="str">
        <x:v>Observe Patrol Point 1</x:v>
      </x:c>
      <x:c r="N47" s="41" t="str">
        <x:v>Path 1 &gt; 2 &gt; 3 &gt; 193 &gt; 196 &gt; 197 &gt; 201</x:v>
      </x:c>
      <x:c r="O47" s="41" t="str">
        <x:v>Select #201 Observe Patrol Point 1</x:v>
      </x:c>
    </x:row>
    <x:row r="48">
      <x:c r="A48" s="41" t="str">
        <x:v>T045</x:v>
      </x:c>
      <x:c r="B48" s="41" t="str">
        <x:v>P03</x:v>
      </x:c>
      <x:c r="C48" s="41" t="str">
        <x:v>M3</x:v>
      </x:c>
      <x:c r="D48" s="41" t="str">
        <x:v>T3</x:v>
      </x:c>
      <x:c r="E48" s="84" t="n">
        <x:v>3</x:v>
      </x:c>
      <x:c r="F48" s="84" t="n">
        <x:v>2</x:v>
      </x:c>
      <x:c r="G48" s="84" t="n">
        <x:v>3</x:v>
      </x:c>
      <x:c r="H48" s="41" t="str">
        <x:v>Locate Action</x:v>
      </x:c>
      <x:c r="I48" s="41" t="str">
        <x:v>Compact</x:v>
      </x:c>
      <x:c r="J48" s="84" t="n">
        <x:v>241</x:v>
      </x:c>
      <x:c r="K48" s="84" t="str">
        <x:v>pressure</x:v>
      </x:c>
      <x:c r="L48" s="84" t="n">
        <x:v>113</x:v>
      </x:c>
      <x:c r="M48" s="41" t="str">
        <x:v>Pressure Advance 1</x:v>
      </x:c>
      <x:c r="N48" s="41" t="str">
        <x:v>Path 1 &gt; 2 &gt; 3 &gt; 107 &gt; 109 &gt; 110 &gt; 113</x:v>
      </x:c>
      <x:c r="O48" s="41" t="str">
        <x:v>Select #113 Pressure Advance 1</x:v>
      </x:c>
    </x:row>
    <x:row r="49">
      <x:c r="A49" s="41" t="str">
        <x:v>T046</x:v>
      </x:c>
      <x:c r="B49" s="41" t="str">
        <x:v>P03</x:v>
      </x:c>
      <x:c r="C49" s="41" t="str">
        <x:v>M3</x:v>
      </x:c>
      <x:c r="D49" s="41" t="str">
        <x:v>T3</x:v>
      </x:c>
      <x:c r="E49" s="84" t="n">
        <x:v>3</x:v>
      </x:c>
      <x:c r="F49" s="84" t="n">
        <x:v>2</x:v>
      </x:c>
      <x:c r="G49" s="84" t="n">
        <x:v>4</x:v>
      </x:c>
      <x:c r="H49" s="41" t="str">
        <x:v>Locate Action</x:v>
      </x:c>
      <x:c r="I49" s="41" t="str">
        <x:v>Search</x:v>
      </x:c>
      <x:c r="J49" s="84" t="n">
        <x:v>241</x:v>
      </x:c>
      <x:c r="K49" s="84" t="str">
        <x:v>obstacle</x:v>
      </x:c>
      <x:c r="L49" s="84" t="n">
        <x:v>83</x:v>
      </x:c>
      <x:c r="M49" s="41" t="str">
        <x:v>Jump Obstacle 1</x:v>
      </x:c>
      <x:c r="N49" s="41" t="str">
        <x:v>Path 1 &gt; 2 &gt; 3 &gt; 79 &gt; 81 &gt; 82 &gt; 83</x:v>
      </x:c>
      <x:c r="O49" s="41" t="str">
        <x:v>Select #83 Jump Obstacle 1</x:v>
      </x:c>
    </x:row>
    <x:row r="50">
      <x:c r="A50" s="41" t="str">
        <x:v>T047</x:v>
      </x:c>
      <x:c r="B50" s="41" t="str">
        <x:v>P03</x:v>
      </x:c>
      <x:c r="C50" s="41" t="str">
        <x:v>M3</x:v>
      </x:c>
      <x:c r="D50" s="41" t="str">
        <x:v>T3</x:v>
      </x:c>
      <x:c r="E50" s="84" t="n">
        <x:v>3</x:v>
      </x:c>
      <x:c r="F50" s="84" t="n">
        <x:v>2</x:v>
      </x:c>
      <x:c r="G50" s="84" t="n">
        <x:v>5</x:v>
      </x:c>
      <x:c r="H50" s="41" t="str">
        <x:v>Locate Action</x:v>
      </x:c>
      <x:c r="I50" s="41" t="str">
        <x:v>Baseline</x:v>
      </x:c>
      <x:c r="J50" s="84" t="n">
        <x:v>241</x:v>
      </x:c>
      <x:c r="K50" s="84" t="str">
        <x:v>ranged</x:v>
      </x:c>
      <x:c r="L50" s="84" t="n">
        <x:v>101</x:v>
      </x:c>
      <x:c r="M50" s="41" t="str">
        <x:v>Fire Projectile 1</x:v>
      </x:c>
      <x:c r="N50" s="41" t="str">
        <x:v>Path 1 &gt; 2 &gt; 3 &gt; 95 &gt; 97 &gt; 98 &gt; 101</x:v>
      </x:c>
      <x:c r="O50" s="41" t="str">
        <x:v>Select #101 Fire Projectile 1</x:v>
      </x:c>
    </x:row>
    <x:row r="51">
      <x:c r="A51" s="41" t="str">
        <x:v>T048</x:v>
      </x:c>
      <x:c r="B51" s="41" t="str">
        <x:v>P03</x:v>
      </x:c>
      <x:c r="C51" s="41" t="str">
        <x:v>M3</x:v>
      </x:c>
      <x:c r="D51" s="41" t="str">
        <x:v>T3</x:v>
      </x:c>
      <x:c r="E51" s="84" t="n">
        <x:v>3</x:v>
      </x:c>
      <x:c r="F51" s="84" t="n">
        <x:v>2</x:v>
      </x:c>
      <x:c r="G51" s="84" t="n">
        <x:v>6</x:v>
      </x:c>
      <x:c r="H51" s="41" t="str">
        <x:v>Locate Action</x:v>
      </x:c>
      <x:c r="I51" s="41" t="str">
        <x:v>Minimap</x:v>
      </x:c>
      <x:c r="J51" s="84" t="n">
        <x:v>241</x:v>
      </x:c>
      <x:c r="K51" s="84" t="str">
        <x:v>vertical</x:v>
      </x:c>
      <x:c r="L51" s="84" t="n">
        <x:v>91</x:v>
      </x:c>
      <x:c r="M51" s="41" t="str">
        <x:v>Climb Ladder 1</x:v>
      </x:c>
      <x:c r="N51" s="41" t="str">
        <x:v>Path 1 &gt; 2 &gt; 3 &gt; 87 &gt; 89 &gt; 90 &gt; 91</x:v>
      </x:c>
      <x:c r="O51" s="41" t="str">
        <x:v>Select #91 Climb Ladder 1</x:v>
      </x:c>
    </x:row>
    <x:row r="52">
      <x:c r="A52" s="41" t="str">
        <x:v>T049</x:v>
      </x:c>
      <x:c r="B52" s="41" t="str">
        <x:v>P03</x:v>
      </x:c>
      <x:c r="C52" s="41" t="str">
        <x:v>M3</x:v>
      </x:c>
      <x:c r="D52" s="41" t="str">
        <x:v>T3</x:v>
      </x:c>
      <x:c r="E52" s="84" t="n">
        <x:v>3</x:v>
      </x:c>
      <x:c r="F52" s="84" t="n">
        <x:v>3</x:v>
      </x:c>
      <x:c r="G52" s="84" t="n">
        <x:v>1</x:v>
      </x:c>
      <x:c r="H52" s="41" t="str">
        <x:v>Trace Active Path</x:v>
      </x:c>
      <x:c r="I52" s="41" t="str">
        <x:v>Collapse</x:v>
      </x:c>
      <x:c r="J52" s="84" t="n">
        <x:v>241</x:v>
      </x:c>
      <x:c r="K52" s="84" t="str">
        <x:v>search</x:v>
      </x:c>
      <x:c r="L52" s="84" t="n">
        <x:v>156</x:v>
      </x:c>
      <x:c r="M52" s="41" t="str">
        <x:v>Search Movement 1</x:v>
      </x:c>
      <x:c r="N52" s="41" t="str">
        <x:v>Path 1 &gt; 2 &gt; 3 &gt; 152 &gt; 154 &gt; 155 &gt; 156</x:v>
      </x:c>
      <x:c r="O52" s="41" t="str">
        <x:v>Report Root &gt; Continuous Tactical Decisions &gt; Reactive Tactical Priority &gt; 9 Last-Known-Position Search &gt; Search Pattern &gt; Search Pattern 1 &gt; Search Movement 1</x:v>
      </x:c>
    </x:row>
    <x:row r="53">
      <x:c r="A53" s="41" t="str">
        <x:v>T050</x:v>
      </x:c>
      <x:c r="B53" s="41" t="str">
        <x:v>P03</x:v>
      </x:c>
      <x:c r="C53" s="41" t="str">
        <x:v>M3</x:v>
      </x:c>
      <x:c r="D53" s="41" t="str">
        <x:v>T3</x:v>
      </x:c>
      <x:c r="E53" s="84" t="n">
        <x:v>3</x:v>
      </x:c>
      <x:c r="F53" s="84" t="n">
        <x:v>3</x:v>
      </x:c>
      <x:c r="G53" s="84" t="n">
        <x:v>2</x:v>
      </x:c>
      <x:c r="H53" s="41" t="str">
        <x:v>Trace Active Path</x:v>
      </x:c>
      <x:c r="I53" s="41" t="str">
        <x:v>Fisheye</x:v>
      </x:c>
      <x:c r="J53" s="84" t="n">
        <x:v>241</x:v>
      </x:c>
      <x:c r="K53" s="84" t="str">
        <x:v>patrol</x:v>
      </x:c>
      <x:c r="L53" s="84" t="n">
        <x:v>201</x:v>
      </x:c>
      <x:c r="M53" s="41" t="str">
        <x:v>Observe Patrol Point 1</x:v>
      </x:c>
      <x:c r="N53" s="41" t="str">
        <x:v>Path 1 &gt; 2 &gt; 3 &gt; 193 &gt; 196 &gt; 197 &gt; 201</x:v>
      </x:c>
      <x:c r="O53" s="41" t="str">
        <x:v>Report Root &gt; Continuous Tactical Decisions &gt; Reactive Tactical Priority &gt; 11 Layered Patrol &gt; Patrol Route Choice &gt; Patrol Route 1 &gt; Observe Patrol Point 1</x:v>
      </x:c>
    </x:row>
    <x:row r="54">
      <x:c r="A54" s="41" t="str">
        <x:v>T051</x:v>
      </x:c>
      <x:c r="B54" s="41" t="str">
        <x:v>P03</x:v>
      </x:c>
      <x:c r="C54" s="41" t="str">
        <x:v>M3</x:v>
      </x:c>
      <x:c r="D54" s="41" t="str">
        <x:v>T3</x:v>
      </x:c>
      <x:c r="E54" s="84" t="n">
        <x:v>3</x:v>
      </x:c>
      <x:c r="F54" s="84" t="n">
        <x:v>3</x:v>
      </x:c>
      <x:c r="G54" s="84" t="n">
        <x:v>3</x:v>
      </x:c>
      <x:c r="H54" s="41" t="str">
        <x:v>Trace Active Path</x:v>
      </x:c>
      <x:c r="I54" s="41" t="str">
        <x:v>Compact</x:v>
      </x:c>
      <x:c r="J54" s="84" t="n">
        <x:v>241</x:v>
      </x:c>
      <x:c r="K54" s="84" t="str">
        <x:v>pressure</x:v>
      </x:c>
      <x:c r="L54" s="84" t="n">
        <x:v>113</x:v>
      </x:c>
      <x:c r="M54" s="41" t="str">
        <x:v>Pressure Advance 1</x:v>
      </x:c>
      <x:c r="N54" s="41" t="str">
        <x:v>Path 1 &gt; 2 &gt; 3 &gt; 107 &gt; 109 &gt; 110 &gt; 113</x:v>
      </x:c>
      <x:c r="O54" s="41" t="str">
        <x:v>Report Root &gt; Continuous Tactical Decisions &gt; Reactive Tactical Priority &gt; 7 Mid-Range Pressure &gt; Pressure Pattern &gt; Pressure Pattern 1 &gt; Pressure Advance 1</x:v>
      </x:c>
    </x:row>
    <x:row r="55">
      <x:c r="A55" s="41" t="str">
        <x:v>T052</x:v>
      </x:c>
      <x:c r="B55" s="41" t="str">
        <x:v>P03</x:v>
      </x:c>
      <x:c r="C55" s="41" t="str">
        <x:v>M3</x:v>
      </x:c>
      <x:c r="D55" s="41" t="str">
        <x:v>T3</x:v>
      </x:c>
      <x:c r="E55" s="84" t="n">
        <x:v>3</x:v>
      </x:c>
      <x:c r="F55" s="84" t="n">
        <x:v>3</x:v>
      </x:c>
      <x:c r="G55" s="84" t="n">
        <x:v>4</x:v>
      </x:c>
      <x:c r="H55" s="41" t="str">
        <x:v>Trace Active Path</x:v>
      </x:c>
      <x:c r="I55" s="41" t="str">
        <x:v>Search</x:v>
      </x:c>
      <x:c r="J55" s="84" t="n">
        <x:v>241</x:v>
      </x:c>
      <x:c r="K55" s="84" t="str">
        <x:v>obstacle</x:v>
      </x:c>
      <x:c r="L55" s="84" t="n">
        <x:v>83</x:v>
      </x:c>
      <x:c r="M55" s="41" t="str">
        <x:v>Jump Obstacle 1</x:v>
      </x:c>
      <x:c r="N55" s="41" t="str">
        <x:v>Path 1 &gt; 2 &gt; 3 &gt; 79 &gt; 81 &gt; 82 &gt; 83</x:v>
      </x:c>
      <x:c r="O55" s="41" t="str">
        <x:v>Report Root &gt; Continuous Tactical Decisions &gt; Reactive Tactical Priority &gt; 4 Obstacle Traversal &gt; Obstacle Solution &gt; Vault Route 1 &gt; Jump Obstacle 1</x:v>
      </x:c>
    </x:row>
    <x:row r="56">
      <x:c r="A56" s="41" t="str">
        <x:v>T053</x:v>
      </x:c>
      <x:c r="B56" s="41" t="str">
        <x:v>P03</x:v>
      </x:c>
      <x:c r="C56" s="41" t="str">
        <x:v>M3</x:v>
      </x:c>
      <x:c r="D56" s="41" t="str">
        <x:v>T3</x:v>
      </x:c>
      <x:c r="E56" s="84" t="n">
        <x:v>3</x:v>
      </x:c>
      <x:c r="F56" s="84" t="n">
        <x:v>3</x:v>
      </x:c>
      <x:c r="G56" s="84" t="n">
        <x:v>5</x:v>
      </x:c>
      <x:c r="H56" s="41" t="str">
        <x:v>Trace Active Path</x:v>
      </x:c>
      <x:c r="I56" s="41" t="str">
        <x:v>Baseline</x:v>
      </x:c>
      <x:c r="J56" s="84" t="n">
        <x:v>241</x:v>
      </x:c>
      <x:c r="K56" s="84" t="str">
        <x:v>ranged</x:v>
      </x:c>
      <x:c r="L56" s="84" t="n">
        <x:v>101</x:v>
      </x:c>
      <x:c r="M56" s="41" t="str">
        <x:v>Fire Projectile 1</x:v>
      </x:c>
      <x:c r="N56" s="41" t="str">
        <x:v>Path 1 &gt; 2 &gt; 3 &gt; 95 &gt; 97 &gt; 98 &gt; 101</x:v>
      </x:c>
      <x:c r="O56" s="41" t="str">
        <x:v>Report Root &gt; Continuous Tactical Decisions &gt; Reactive Tactical Priority &gt; 6 Ranged Suppression &gt; Ranged Firing Pattern &gt; Ranged Pattern 1 &gt; Fire Projectile 1</x:v>
      </x:c>
    </x:row>
    <x:row r="57">
      <x:c r="A57" s="41" t="str">
        <x:v>T054</x:v>
      </x:c>
      <x:c r="B57" s="41" t="str">
        <x:v>P03</x:v>
      </x:c>
      <x:c r="C57" s="41" t="str">
        <x:v>M3</x:v>
      </x:c>
      <x:c r="D57" s="41" t="str">
        <x:v>T3</x:v>
      </x:c>
      <x:c r="E57" s="84" t="n">
        <x:v>3</x:v>
      </x:c>
      <x:c r="F57" s="84" t="n">
        <x:v>3</x:v>
      </x:c>
      <x:c r="G57" s="84" t="n">
        <x:v>6</x:v>
      </x:c>
      <x:c r="H57" s="41" t="str">
        <x:v>Trace Active Path</x:v>
      </x:c>
      <x:c r="I57" s="41" t="str">
        <x:v>Minimap</x:v>
      </x:c>
      <x:c r="J57" s="84" t="n">
        <x:v>241</x:v>
      </x:c>
      <x:c r="K57" s="84" t="str">
        <x:v>vertical</x:v>
      </x:c>
      <x:c r="L57" s="84" t="n">
        <x:v>91</x:v>
      </x:c>
      <x:c r="M57" s="41" t="str">
        <x:v>Climb Ladder 1</x:v>
      </x:c>
      <x:c r="N57" s="41" t="str">
        <x:v>Path 1 &gt; 2 &gt; 3 &gt; 87 &gt; 89 &gt; 90 &gt; 91</x:v>
      </x:c>
      <x:c r="O57" s="41" t="str">
        <x:v>Report Root &gt; Continuous Tactical Decisions &gt; Reactive Tactical Priority &gt; 5 Vertical Pursuit &gt; Climb Approach &gt; Climb Route 1 &gt; Climb Ladder 1</x:v>
      </x:c>
    </x:row>
    <x:row r="58">
      <x:c r="A58" s="41" t="str">
        <x:v>T055</x:v>
      </x:c>
      <x:c r="B58" s="41" t="str">
        <x:v>P04</x:v>
      </x:c>
      <x:c r="C58" s="41" t="str">
        <x:v>M4</x:v>
      </x:c>
      <x:c r="D58" s="41" t="str">
        <x:v>T1</x:v>
      </x:c>
      <x:c r="E58" s="84" t="n">
        <x:v>4</x:v>
      </x:c>
      <x:c r="F58" s="84" t="n">
        <x:v>1</x:v>
      </x:c>
      <x:c r="G58" s="84" t="n">
        <x:v>1</x:v>
      </x:c>
      <x:c r="H58" s="41" t="str">
        <x:v>Locate Action</x:v>
      </x:c>
      <x:c r="I58" s="41" t="str">
        <x:v>Fisheye</x:v>
      </x:c>
      <x:c r="J58" s="84" t="n">
        <x:v>241</x:v>
      </x:c>
      <x:c r="K58" s="84" t="str">
        <x:v>obstacle</x:v>
      </x:c>
      <x:c r="L58" s="84" t="n">
        <x:v>83</x:v>
      </x:c>
      <x:c r="M58" s="41" t="str">
        <x:v>Jump Obstacle 1</x:v>
      </x:c>
      <x:c r="N58" s="41" t="str">
        <x:v>Path 1 &gt; 2 &gt; 3 &gt; 79 &gt; 81 &gt; 82 &gt; 83</x:v>
      </x:c>
      <x:c r="O58" s="41" t="str">
        <x:v>Select #83 Jump Obstacle 1</x:v>
      </x:c>
    </x:row>
    <x:row r="59">
      <x:c r="A59" s="41" t="str">
        <x:v>T056</x:v>
      </x:c>
      <x:c r="B59" s="41" t="str">
        <x:v>P04</x:v>
      </x:c>
      <x:c r="C59" s="41" t="str">
        <x:v>M4</x:v>
      </x:c>
      <x:c r="D59" s="41" t="str">
        <x:v>T1</x:v>
      </x:c>
      <x:c r="E59" s="84" t="n">
        <x:v>4</x:v>
      </x:c>
      <x:c r="F59" s="84" t="n">
        <x:v>1</x:v>
      </x:c>
      <x:c r="G59" s="84" t="n">
        <x:v>2</x:v>
      </x:c>
      <x:c r="H59" s="41" t="str">
        <x:v>Locate Action</x:v>
      </x:c>
      <x:c r="I59" s="41" t="str">
        <x:v>Search</x:v>
      </x:c>
      <x:c r="J59" s="84" t="n">
        <x:v>241</x:v>
      </x:c>
      <x:c r="K59" s="84" t="str">
        <x:v>vertical</x:v>
      </x:c>
      <x:c r="L59" s="84" t="n">
        <x:v>91</x:v>
      </x:c>
      <x:c r="M59" s="41" t="str">
        <x:v>Climb Ladder 1</x:v>
      </x:c>
      <x:c r="N59" s="41" t="str">
        <x:v>Path 1 &gt; 2 &gt; 3 &gt; 87 &gt; 89 &gt; 90 &gt; 91</x:v>
      </x:c>
      <x:c r="O59" s="41" t="str">
        <x:v>Select #91 Climb Ladder 1</x:v>
      </x:c>
    </x:row>
    <x:row r="60">
      <x:c r="A60" s="41" t="str">
        <x:v>T057</x:v>
      </x:c>
      <x:c r="B60" s="41" t="str">
        <x:v>P04</x:v>
      </x:c>
      <x:c r="C60" s="41" t="str">
        <x:v>M4</x:v>
      </x:c>
      <x:c r="D60" s="41" t="str">
        <x:v>T1</x:v>
      </x:c>
      <x:c r="E60" s="84" t="n">
        <x:v>4</x:v>
      </x:c>
      <x:c r="F60" s="84" t="n">
        <x:v>1</x:v>
      </x:c>
      <x:c r="G60" s="84" t="n">
        <x:v>3</x:v>
      </x:c>
      <x:c r="H60" s="41" t="str">
        <x:v>Locate Action</x:v>
      </x:c>
      <x:c r="I60" s="41" t="str">
        <x:v>Collapse</x:v>
      </x:c>
      <x:c r="J60" s="84" t="n">
        <x:v>241</x:v>
      </x:c>
      <x:c r="K60" s="84" t="str">
        <x:v>patrol</x:v>
      </x:c>
      <x:c r="L60" s="84" t="n">
        <x:v>201</x:v>
      </x:c>
      <x:c r="M60" s="41" t="str">
        <x:v>Observe Patrol Point 1</x:v>
      </x:c>
      <x:c r="N60" s="41" t="str">
        <x:v>Path 1 &gt; 2 &gt; 3 &gt; 193 &gt; 196 &gt; 197 &gt; 201</x:v>
      </x:c>
      <x:c r="O60" s="41" t="str">
        <x:v>Select #201 Observe Patrol Point 1</x:v>
      </x:c>
    </x:row>
    <x:row r="61">
      <x:c r="A61" s="41" t="str">
        <x:v>T058</x:v>
      </x:c>
      <x:c r="B61" s="41" t="str">
        <x:v>P04</x:v>
      </x:c>
      <x:c r="C61" s="41" t="str">
        <x:v>M4</x:v>
      </x:c>
      <x:c r="D61" s="41" t="str">
        <x:v>T1</x:v>
      </x:c>
      <x:c r="E61" s="84" t="n">
        <x:v>4</x:v>
      </x:c>
      <x:c r="F61" s="84" t="n">
        <x:v>1</x:v>
      </x:c>
      <x:c r="G61" s="84" t="n">
        <x:v>4</x:v>
      </x:c>
      <x:c r="H61" s="41" t="str">
        <x:v>Locate Action</x:v>
      </x:c>
      <x:c r="I61" s="41" t="str">
        <x:v>Minimap</x:v>
      </x:c>
      <x:c r="J61" s="84" t="n">
        <x:v>241</x:v>
      </x:c>
      <x:c r="K61" s="84" t="str">
        <x:v>ranged</x:v>
      </x:c>
      <x:c r="L61" s="84" t="n">
        <x:v>101</x:v>
      </x:c>
      <x:c r="M61" s="41" t="str">
        <x:v>Fire Projectile 1</x:v>
      </x:c>
      <x:c r="N61" s="41" t="str">
        <x:v>Path 1 &gt; 2 &gt; 3 &gt; 95 &gt; 97 &gt; 98 &gt; 101</x:v>
      </x:c>
      <x:c r="O61" s="41" t="str">
        <x:v>Select #101 Fire Projectile 1</x:v>
      </x:c>
    </x:row>
    <x:row r="62">
      <x:c r="A62" s="41" t="str">
        <x:v>T059</x:v>
      </x:c>
      <x:c r="B62" s="41" t="str">
        <x:v>P04</x:v>
      </x:c>
      <x:c r="C62" s="41" t="str">
        <x:v>M4</x:v>
      </x:c>
      <x:c r="D62" s="41" t="str">
        <x:v>T1</x:v>
      </x:c>
      <x:c r="E62" s="84" t="n">
        <x:v>4</x:v>
      </x:c>
      <x:c r="F62" s="84" t="n">
        <x:v>1</x:v>
      </x:c>
      <x:c r="G62" s="84" t="n">
        <x:v>5</x:v>
      </x:c>
      <x:c r="H62" s="41" t="str">
        <x:v>Locate Action</x:v>
      </x:c>
      <x:c r="I62" s="41" t="str">
        <x:v>Compact</x:v>
      </x:c>
      <x:c r="J62" s="84" t="n">
        <x:v>241</x:v>
      </x:c>
      <x:c r="K62" s="84" t="str">
        <x:v>search</x:v>
      </x:c>
      <x:c r="L62" s="84" t="n">
        <x:v>156</x:v>
      </x:c>
      <x:c r="M62" s="41" t="str">
        <x:v>Search Movement 1</x:v>
      </x:c>
      <x:c r="N62" s="41" t="str">
        <x:v>Path 1 &gt; 2 &gt; 3 &gt; 152 &gt; 154 &gt; 155 &gt; 156</x:v>
      </x:c>
      <x:c r="O62" s="41" t="str">
        <x:v>Select #156 Search Movement 1</x:v>
      </x:c>
    </x:row>
    <x:row r="63">
      <x:c r="A63" s="41" t="str">
        <x:v>T060</x:v>
      </x:c>
      <x:c r="B63" s="41" t="str">
        <x:v>P04</x:v>
      </x:c>
      <x:c r="C63" s="41" t="str">
        <x:v>M4</x:v>
      </x:c>
      <x:c r="D63" s="41" t="str">
        <x:v>T1</x:v>
      </x:c>
      <x:c r="E63" s="84" t="n">
        <x:v>4</x:v>
      </x:c>
      <x:c r="F63" s="84" t="n">
        <x:v>1</x:v>
      </x:c>
      <x:c r="G63" s="84" t="n">
        <x:v>6</x:v>
      </x:c>
      <x:c r="H63" s="41" t="str">
        <x:v>Locate Action</x:v>
      </x:c>
      <x:c r="I63" s="41" t="str">
        <x:v>Baseline</x:v>
      </x:c>
      <x:c r="J63" s="84" t="n">
        <x:v>241</x:v>
      </x:c>
      <x:c r="K63" s="84" t="str">
        <x:v>pressure</x:v>
      </x:c>
      <x:c r="L63" s="84" t="n">
        <x:v>113</x:v>
      </x:c>
      <x:c r="M63" s="41" t="str">
        <x:v>Pressure Advance 1</x:v>
      </x:c>
      <x:c r="N63" s="41" t="str">
        <x:v>Path 1 &gt; 2 &gt; 3 &gt; 107 &gt; 109 &gt; 110 &gt; 113</x:v>
      </x:c>
      <x:c r="O63" s="41" t="str">
        <x:v>Select #113 Pressure Advance 1</x:v>
      </x:c>
    </x:row>
    <x:row r="64">
      <x:c r="A64" s="41" t="str">
        <x:v>T061</x:v>
      </x:c>
      <x:c r="B64" s="41" t="str">
        <x:v>P04</x:v>
      </x:c>
      <x:c r="C64" s="41" t="str">
        <x:v>M4</x:v>
      </x:c>
      <x:c r="D64" s="41" t="str">
        <x:v>T1</x:v>
      </x:c>
      <x:c r="E64" s="84" t="n">
        <x:v>4</x:v>
      </x:c>
      <x:c r="F64" s="84" t="n">
        <x:v>2</x:v>
      </x:c>
      <x:c r="G64" s="84" t="n">
        <x:v>1</x:v>
      </x:c>
      <x:c r="H64" s="41" t="str">
        <x:v>Trace Active Path</x:v>
      </x:c>
      <x:c r="I64" s="41" t="str">
        <x:v>Fisheye</x:v>
      </x:c>
      <x:c r="J64" s="84" t="n">
        <x:v>241</x:v>
      </x:c>
      <x:c r="K64" s="84" t="str">
        <x:v>obstacle</x:v>
      </x:c>
      <x:c r="L64" s="84" t="n">
        <x:v>83</x:v>
      </x:c>
      <x:c r="M64" s="41" t="str">
        <x:v>Jump Obstacle 1</x:v>
      </x:c>
      <x:c r="N64" s="41" t="str">
        <x:v>Path 1 &gt; 2 &gt; 3 &gt; 79 &gt; 81 &gt; 82 &gt; 83</x:v>
      </x:c>
      <x:c r="O64" s="41" t="str">
        <x:v>Report Root &gt; Continuous Tactical Decisions &gt; Reactive Tactical Priority &gt; 4 Obstacle Traversal &gt; Obstacle Solution &gt; Vault Route 1 &gt; Jump Obstacle 1</x:v>
      </x:c>
    </x:row>
    <x:row r="65">
      <x:c r="A65" s="41" t="str">
        <x:v>T062</x:v>
      </x:c>
      <x:c r="B65" s="41" t="str">
        <x:v>P04</x:v>
      </x:c>
      <x:c r="C65" s="41" t="str">
        <x:v>M4</x:v>
      </x:c>
      <x:c r="D65" s="41" t="str">
        <x:v>T1</x:v>
      </x:c>
      <x:c r="E65" s="84" t="n">
        <x:v>4</x:v>
      </x:c>
      <x:c r="F65" s="84" t="n">
        <x:v>2</x:v>
      </x:c>
      <x:c r="G65" s="84" t="n">
        <x:v>2</x:v>
      </x:c>
      <x:c r="H65" s="41" t="str">
        <x:v>Trace Active Path</x:v>
      </x:c>
      <x:c r="I65" s="41" t="str">
        <x:v>Search</x:v>
      </x:c>
      <x:c r="J65" s="84" t="n">
        <x:v>241</x:v>
      </x:c>
      <x:c r="K65" s="84" t="str">
        <x:v>vertical</x:v>
      </x:c>
      <x:c r="L65" s="84" t="n">
        <x:v>91</x:v>
      </x:c>
      <x:c r="M65" s="41" t="str">
        <x:v>Climb Ladder 1</x:v>
      </x:c>
      <x:c r="N65" s="41" t="str">
        <x:v>Path 1 &gt; 2 &gt; 3 &gt; 87 &gt; 89 &gt; 90 &gt; 91</x:v>
      </x:c>
      <x:c r="O65" s="41" t="str">
        <x:v>Report Root &gt; Continuous Tactical Decisions &gt; Reactive Tactical Priority &gt; 5 Vertical Pursuit &gt; Climb Approach &gt; Climb Route 1 &gt; Climb Ladder 1</x:v>
      </x:c>
    </x:row>
    <x:row r="66">
      <x:c r="A66" s="41" t="str">
        <x:v>T063</x:v>
      </x:c>
      <x:c r="B66" s="41" t="str">
        <x:v>P04</x:v>
      </x:c>
      <x:c r="C66" s="41" t="str">
        <x:v>M4</x:v>
      </x:c>
      <x:c r="D66" s="41" t="str">
        <x:v>T1</x:v>
      </x:c>
      <x:c r="E66" s="84" t="n">
        <x:v>4</x:v>
      </x:c>
      <x:c r="F66" s="84" t="n">
        <x:v>2</x:v>
      </x:c>
      <x:c r="G66" s="84" t="n">
        <x:v>3</x:v>
      </x:c>
      <x:c r="H66" s="41" t="str">
        <x:v>Trace Active Path</x:v>
      </x:c>
      <x:c r="I66" s="41" t="str">
        <x:v>Collapse</x:v>
      </x:c>
      <x:c r="J66" s="84" t="n">
        <x:v>241</x:v>
      </x:c>
      <x:c r="K66" s="84" t="str">
        <x:v>patrol</x:v>
      </x:c>
      <x:c r="L66" s="84" t="n">
        <x:v>201</x:v>
      </x:c>
      <x:c r="M66" s="41" t="str">
        <x:v>Observe Patrol Point 1</x:v>
      </x:c>
      <x:c r="N66" s="41" t="str">
        <x:v>Path 1 &gt; 2 &gt; 3 &gt; 193 &gt; 196 &gt; 197 &gt; 201</x:v>
      </x:c>
      <x:c r="O66" s="41" t="str">
        <x:v>Report Root &gt; Continuous Tactical Decisions &gt; Reactive Tactical Priority &gt; 11 Layered Patrol &gt; Patrol Route Choice &gt; Patrol Route 1 &gt; Observe Patrol Point 1</x:v>
      </x:c>
    </x:row>
    <x:row r="67">
      <x:c r="A67" s="41" t="str">
        <x:v>T064</x:v>
      </x:c>
      <x:c r="B67" s="41" t="str">
        <x:v>P04</x:v>
      </x:c>
      <x:c r="C67" s="41" t="str">
        <x:v>M4</x:v>
      </x:c>
      <x:c r="D67" s="41" t="str">
        <x:v>T1</x:v>
      </x:c>
      <x:c r="E67" s="84" t="n">
        <x:v>4</x:v>
      </x:c>
      <x:c r="F67" s="84" t="n">
        <x:v>2</x:v>
      </x:c>
      <x:c r="G67" s="84" t="n">
        <x:v>4</x:v>
      </x:c>
      <x:c r="H67" s="41" t="str">
        <x:v>Trace Active Path</x:v>
      </x:c>
      <x:c r="I67" s="41" t="str">
        <x:v>Minimap</x:v>
      </x:c>
      <x:c r="J67" s="84" t="n">
        <x:v>241</x:v>
      </x:c>
      <x:c r="K67" s="84" t="str">
        <x:v>ranged</x:v>
      </x:c>
      <x:c r="L67" s="84" t="n">
        <x:v>101</x:v>
      </x:c>
      <x:c r="M67" s="41" t="str">
        <x:v>Fire Projectile 1</x:v>
      </x:c>
      <x:c r="N67" s="41" t="str">
        <x:v>Path 1 &gt; 2 &gt; 3 &gt; 95 &gt; 97 &gt; 98 &gt; 101</x:v>
      </x:c>
      <x:c r="O67" s="41" t="str">
        <x:v>Report Root &gt; Continuous Tactical Decisions &gt; Reactive Tactical Priority &gt; 6 Ranged Suppression &gt; Ranged Firing Pattern &gt; Ranged Pattern 1 &gt; Fire Projectile 1</x:v>
      </x:c>
    </x:row>
    <x:row r="68">
      <x:c r="A68" s="41" t="str">
        <x:v>T065</x:v>
      </x:c>
      <x:c r="B68" s="41" t="str">
        <x:v>P04</x:v>
      </x:c>
      <x:c r="C68" s="41" t="str">
        <x:v>M4</x:v>
      </x:c>
      <x:c r="D68" s="41" t="str">
        <x:v>T1</x:v>
      </x:c>
      <x:c r="E68" s="84" t="n">
        <x:v>4</x:v>
      </x:c>
      <x:c r="F68" s="84" t="n">
        <x:v>2</x:v>
      </x:c>
      <x:c r="G68" s="84" t="n">
        <x:v>5</x:v>
      </x:c>
      <x:c r="H68" s="41" t="str">
        <x:v>Trace Active Path</x:v>
      </x:c>
      <x:c r="I68" s="41" t="str">
        <x:v>Compact</x:v>
      </x:c>
      <x:c r="J68" s="84" t="n">
        <x:v>241</x:v>
      </x:c>
      <x:c r="K68" s="84" t="str">
        <x:v>search</x:v>
      </x:c>
      <x:c r="L68" s="84" t="n">
        <x:v>156</x:v>
      </x:c>
      <x:c r="M68" s="41" t="str">
        <x:v>Search Movement 1</x:v>
      </x:c>
      <x:c r="N68" s="41" t="str">
        <x:v>Path 1 &gt; 2 &gt; 3 &gt; 152 &gt; 154 &gt; 155 &gt; 156</x:v>
      </x:c>
      <x:c r="O68" s="41" t="str">
        <x:v>Report Root &gt; Continuous Tactical Decisions &gt; Reactive Tactical Priority &gt; 9 Last-Known-Position Search &gt; Search Pattern &gt; Search Pattern 1 &gt; Search Movement 1</x:v>
      </x:c>
    </x:row>
    <x:row r="69">
      <x:c r="A69" s="41" t="str">
        <x:v>T066</x:v>
      </x:c>
      <x:c r="B69" s="41" t="str">
        <x:v>P04</x:v>
      </x:c>
      <x:c r="C69" s="41" t="str">
        <x:v>M4</x:v>
      </x:c>
      <x:c r="D69" s="41" t="str">
        <x:v>T1</x:v>
      </x:c>
      <x:c r="E69" s="84" t="n">
        <x:v>4</x:v>
      </x:c>
      <x:c r="F69" s="84" t="n">
        <x:v>2</x:v>
      </x:c>
      <x:c r="G69" s="84" t="n">
        <x:v>6</x:v>
      </x:c>
      <x:c r="H69" s="41" t="str">
        <x:v>Trace Active Path</x:v>
      </x:c>
      <x:c r="I69" s="41" t="str">
        <x:v>Baseline</x:v>
      </x:c>
      <x:c r="J69" s="84" t="n">
        <x:v>241</x:v>
      </x:c>
      <x:c r="K69" s="84" t="str">
        <x:v>pressure</x:v>
      </x:c>
      <x:c r="L69" s="84" t="n">
        <x:v>113</x:v>
      </x:c>
      <x:c r="M69" s="41" t="str">
        <x:v>Pressure Advance 1</x:v>
      </x:c>
      <x:c r="N69" s="41" t="str">
        <x:v>Path 1 &gt; 2 &gt; 3 &gt; 107 &gt; 109 &gt; 110 &gt; 113</x:v>
      </x:c>
      <x:c r="O69" s="41" t="str">
        <x:v>Report Root &gt; Continuous Tactical Decisions &gt; Reactive Tactical Priority &gt; 7 Mid-Range Pressure &gt; Pressure Pattern &gt; Pressure Pattern 1 &gt; Pressure Advance 1</x:v>
      </x:c>
    </x:row>
    <x:row r="70">
      <x:c r="A70" s="41" t="str">
        <x:v>T067</x:v>
      </x:c>
      <x:c r="B70" s="41" t="str">
        <x:v>P04</x:v>
      </x:c>
      <x:c r="C70" s="41" t="str">
        <x:v>M4</x:v>
      </x:c>
      <x:c r="D70" s="41" t="str">
        <x:v>T1</x:v>
      </x:c>
      <x:c r="E70" s="84" t="n">
        <x:v>4</x:v>
      </x:c>
      <x:c r="F70" s="84" t="n">
        <x:v>3</x:v>
      </x:c>
      <x:c r="G70" s="84" t="n">
        <x:v>1</x:v>
      </x:c>
      <x:c r="H70" s="41" t="str">
        <x:v>Edit Decorator</x:v>
      </x:c>
      <x:c r="I70" s="41" t="str">
        <x:v>Fisheye</x:v>
      </x:c>
      <x:c r="J70" s="84" t="n">
        <x:v>241</x:v>
      </x:c>
      <x:c r="K70" s="84" t="str">
        <x:v>defense</x:v>
      </x:c>
      <x:c r="L70" s="84" t="n">
        <x:v>31</x:v>
      </x:c>
      <x:c r="M70" s="41" t="str">
        <x:v>Defense Cooldown 1</x:v>
      </x:c>
      <x:c r="N70" s="41" t="str">
        <x:v>Owner #29 Dodge Left; cooldown; 0.45 -&gt; 0.55</x:v>
      </x:c>
      <x:c r="O70" s="41" t="str">
        <x:v>Set Decorator #31 Duration to 0.55; no other change</x:v>
      </x:c>
    </x:row>
    <x:row r="71">
      <x:c r="A71" s="41" t="str">
        <x:v>T068</x:v>
      </x:c>
      <x:c r="B71" s="41" t="str">
        <x:v>P04</x:v>
      </x:c>
      <x:c r="C71" s="41" t="str">
        <x:v>M4</x:v>
      </x:c>
      <x:c r="D71" s="41" t="str">
        <x:v>T1</x:v>
      </x:c>
      <x:c r="E71" s="84" t="n">
        <x:v>4</x:v>
      </x:c>
      <x:c r="F71" s="84" t="n">
        <x:v>3</x:v>
      </x:c>
      <x:c r="G71" s="84" t="n">
        <x:v>2</x:v>
      </x:c>
      <x:c r="H71" s="41" t="str">
        <x:v>Edit Decorator</x:v>
      </x:c>
      <x:c r="I71" s="41" t="str">
        <x:v>Search</x:v>
      </x:c>
      <x:c r="J71" s="84" t="n">
        <x:v>241</x:v>
      </x:c>
      <x:c r="K71" s="84" t="str">
        <x:v>pressure</x:v>
      </x:c>
      <x:c r="L71" s="84" t="n">
        <x:v>114</x:v>
      </x:c>
      <x:c r="M71" s="41" t="str">
        <x:v>Pressure Cooldown 1</x:v>
      </x:c>
      <x:c r="N71" s="41" t="str">
        <x:v>Owner #111 Pressure Reposition 1; cooldown; 0.35 -&gt; 0.45</x:v>
      </x:c>
      <x:c r="O71" s="41" t="str">
        <x:v>Set Decorator #114 Duration to 0.45; no other change</x:v>
      </x:c>
    </x:row>
    <x:row r="72">
      <x:c r="A72" s="41" t="str">
        <x:v>T069</x:v>
      </x:c>
      <x:c r="B72" s="41" t="str">
        <x:v>P04</x:v>
      </x:c>
      <x:c r="C72" s="41" t="str">
        <x:v>M4</x:v>
      </x:c>
      <x:c r="D72" s="41" t="str">
        <x:v>T1</x:v>
      </x:c>
      <x:c r="E72" s="84" t="n">
        <x:v>4</x:v>
      </x:c>
      <x:c r="F72" s="84" t="n">
        <x:v>3</x:v>
      </x:c>
      <x:c r="G72" s="84" t="n">
        <x:v>3</x:v>
      </x:c>
      <x:c r="H72" s="41" t="str">
        <x:v>Edit Decorator</x:v>
      </x:c>
      <x:c r="I72" s="41" t="str">
        <x:v>Collapse</x:v>
      </x:c>
      <x:c r="J72" s="84" t="n">
        <x:v>241</x:v>
      </x:c>
      <x:c r="K72" s="84" t="str">
        <x:v>patrol</x:v>
      </x:c>
      <x:c r="L72" s="84" t="n">
        <x:v>202</x:v>
      </x:c>
      <x:c r="M72" s="41" t="str">
        <x:v>Patrol Leg Limit 1</x:v>
      </x:c>
      <x:c r="N72" s="41" t="str">
        <x:v>Owner #199 Patrol Movement 1; time_limit; 1.5 -&gt; 1.6</x:v>
      </x:c>
      <x:c r="O72" s="41" t="str">
        <x:v>Set Decorator #202 Duration to 1.6; no other change</x:v>
      </x:c>
    </x:row>
    <x:row r="73">
      <x:c r="A73" s="41" t="str">
        <x:v>T070</x:v>
      </x:c>
      <x:c r="B73" s="41" t="str">
        <x:v>P04</x:v>
      </x:c>
      <x:c r="C73" s="41" t="str">
        <x:v>M4</x:v>
      </x:c>
      <x:c r="D73" s="41" t="str">
        <x:v>T1</x:v>
      </x:c>
      <x:c r="E73" s="84" t="n">
        <x:v>4</x:v>
      </x:c>
      <x:c r="F73" s="84" t="n">
        <x:v>3</x:v>
      </x:c>
      <x:c r="G73" s="84" t="n">
        <x:v>4</x:v>
      </x:c>
      <x:c r="H73" s="41" t="str">
        <x:v>Edit Decorator</x:v>
      </x:c>
      <x:c r="I73" s="41" t="str">
        <x:v>Minimap</x:v>
      </x:c>
      <x:c r="J73" s="84" t="n">
        <x:v>241</x:v>
      </x:c>
      <x:c r="K73" s="84" t="str">
        <x:v>chase</x:v>
      </x:c>
      <x:c r="L73" s="84" t="n">
        <x:v>133</x:v>
      </x:c>
      <x:c r="M73" s="41" t="str">
        <x:v>Chase Step Limit 1</x:v>
      </x:c>
      <x:c r="N73" s="41" t="str">
        <x:v>Owner #130 Chase Movement 1; time_limit; 0.8 -&gt; 0.9</x:v>
      </x:c>
      <x:c r="O73" s="41" t="str">
        <x:v>Set Decorator #133 Duration to 0.9; no other change</x:v>
      </x:c>
    </x:row>
    <x:row r="74">
      <x:c r="A74" s="41" t="str">
        <x:v>T071</x:v>
      </x:c>
      <x:c r="B74" s="41" t="str">
        <x:v>P04</x:v>
      </x:c>
      <x:c r="C74" s="41" t="str">
        <x:v>M4</x:v>
      </x:c>
      <x:c r="D74" s="41" t="str">
        <x:v>T1</x:v>
      </x:c>
      <x:c r="E74" s="84" t="n">
        <x:v>4</x:v>
      </x:c>
      <x:c r="F74" s="84" t="n">
        <x:v>3</x:v>
      </x:c>
      <x:c r="G74" s="84" t="n">
        <x:v>5</x:v>
      </x:c>
      <x:c r="H74" s="41" t="str">
        <x:v>Edit Decorator</x:v>
      </x:c>
      <x:c r="I74" s="41" t="str">
        <x:v>Compact</x:v>
      </x:c>
      <x:c r="J74" s="84" t="n">
        <x:v>241</x:v>
      </x:c>
      <x:c r="K74" s="84" t="str">
        <x:v>return</x:v>
      </x:c>
      <x:c r="L74" s="84" t="n">
        <x:v>182</x:v>
      </x:c>
      <x:c r="M74" s="41" t="str">
        <x:v>Return Step Limit 1</x:v>
      </x:c>
      <x:c r="N74" s="41" t="str">
        <x:v>Owner #179 Return Movement 1; time_limit; 0.9 -&gt; 1</x:v>
      </x:c>
      <x:c r="O74" s="41" t="str">
        <x:v>Set Decorator #182 Duration to 1; no other change</x:v>
      </x:c>
    </x:row>
    <x:row r="75">
      <x:c r="A75" s="41" t="str">
        <x:v>T072</x:v>
      </x:c>
      <x:c r="B75" s="41" t="str">
        <x:v>P04</x:v>
      </x:c>
      <x:c r="C75" s="41" t="str">
        <x:v>M4</x:v>
      </x:c>
      <x:c r="D75" s="41" t="str">
        <x:v>T1</x:v>
      </x:c>
      <x:c r="E75" s="84" t="n">
        <x:v>4</x:v>
      </x:c>
      <x:c r="F75" s="84" t="n">
        <x:v>3</x:v>
      </x:c>
      <x:c r="G75" s="84" t="n">
        <x:v>6</x:v>
      </x:c>
      <x:c r="H75" s="41" t="str">
        <x:v>Edit Decorator</x:v>
      </x:c>
      <x:c r="I75" s="41" t="str">
        <x:v>Baseline</x:v>
      </x:c>
      <x:c r="J75" s="84" t="n">
        <x:v>241</x:v>
      </x:c>
      <x:c r="K75" s="84" t="str">
        <x:v>search</x:v>
      </x:c>
      <x:c r="L75" s="84" t="n">
        <x:v>159</x:v>
      </x:c>
      <x:c r="M75" s="41" t="str">
        <x:v>Search Leg Limit 1</x:v>
      </x:c>
      <x:c r="N75" s="41" t="str">
        <x:v>Owner #156 Search Movement 1; time_limit; 1.25 -&gt; 1.35</x:v>
      </x:c>
      <x:c r="O75" s="41" t="str">
        <x:v>Set Decorator #159 Duration to 1.35; no other change</x:v>
      </x:c>
    </x:row>
    <x:row r="76">
      <x:c r="A76" s="41" t="str">
        <x:v>T073</x:v>
      </x:c>
      <x:c r="B76" s="41" t="str">
        <x:v>P05</x:v>
      </x:c>
      <x:c r="C76" s="41" t="str">
        <x:v>M5</x:v>
      </x:c>
      <x:c r="D76" s="41" t="str">
        <x:v>T2</x:v>
      </x:c>
      <x:c r="E76" s="84" t="n">
        <x:v>5</x:v>
      </x:c>
      <x:c r="F76" s="84" t="n">
        <x:v>1</x:v>
      </x:c>
      <x:c r="G76" s="84" t="n">
        <x:v>1</x:v>
      </x:c>
      <x:c r="H76" s="41" t="str">
        <x:v>Trace Active Path</x:v>
      </x:c>
      <x:c r="I76" s="41" t="str">
        <x:v>Search</x:v>
      </x:c>
      <x:c r="J76" s="84" t="n">
        <x:v>241</x:v>
      </x:c>
      <x:c r="K76" s="84" t="str">
        <x:v>ranged</x:v>
      </x:c>
      <x:c r="L76" s="84" t="n">
        <x:v>101</x:v>
      </x:c>
      <x:c r="M76" s="41" t="str">
        <x:v>Fire Projectile 1</x:v>
      </x:c>
      <x:c r="N76" s="41" t="str">
        <x:v>Path 1 &gt; 2 &gt; 3 &gt; 95 &gt; 97 &gt; 98 &gt; 101</x:v>
      </x:c>
      <x:c r="O76" s="41" t="str">
        <x:v>Report Root &gt; Continuous Tactical Decisions &gt; Reactive Tactical Priority &gt; 6 Ranged Suppression &gt; Ranged Firing Pattern &gt; Ranged Pattern 1 &gt; Fire Projectile 1</x:v>
      </x:c>
    </x:row>
    <x:row r="77">
      <x:c r="A77" s="41" t="str">
        <x:v>T074</x:v>
      </x:c>
      <x:c r="B77" s="41" t="str">
        <x:v>P05</x:v>
      </x:c>
      <x:c r="C77" s="41" t="str">
        <x:v>M5</x:v>
      </x:c>
      <x:c r="D77" s="41" t="str">
        <x:v>T2</x:v>
      </x:c>
      <x:c r="E77" s="84" t="n">
        <x:v>5</x:v>
      </x:c>
      <x:c r="F77" s="84" t="n">
        <x:v>1</x:v>
      </x:c>
      <x:c r="G77" s="84" t="n">
        <x:v>2</x:v>
      </x:c>
      <x:c r="H77" s="41" t="str">
        <x:v>Trace Active Path</x:v>
      </x:c>
      <x:c r="I77" s="41" t="str">
        <x:v>Minimap</x:v>
      </x:c>
      <x:c r="J77" s="84" t="n">
        <x:v>241</x:v>
      </x:c>
      <x:c r="K77" s="84" t="str">
        <x:v>pressure</x:v>
      </x:c>
      <x:c r="L77" s="84" t="n">
        <x:v>113</x:v>
      </x:c>
      <x:c r="M77" s="41" t="str">
        <x:v>Pressure Advance 1</x:v>
      </x:c>
      <x:c r="N77" s="41" t="str">
        <x:v>Path 1 &gt; 2 &gt; 3 &gt; 107 &gt; 109 &gt; 110 &gt; 113</x:v>
      </x:c>
      <x:c r="O77" s="41" t="str">
        <x:v>Report Root &gt; Continuous Tactical Decisions &gt; Reactive Tactical Priority &gt; 7 Mid-Range Pressure &gt; Pressure Pattern &gt; Pressure Pattern 1 &gt; Pressure Advance 1</x:v>
      </x:c>
    </x:row>
    <x:row r="78">
      <x:c r="A78" s="41" t="str">
        <x:v>T075</x:v>
      </x:c>
      <x:c r="B78" s="41" t="str">
        <x:v>P05</x:v>
      </x:c>
      <x:c r="C78" s="41" t="str">
        <x:v>M5</x:v>
      </x:c>
      <x:c r="D78" s="41" t="str">
        <x:v>T2</x:v>
      </x:c>
      <x:c r="E78" s="84" t="n">
        <x:v>5</x:v>
      </x:c>
      <x:c r="F78" s="84" t="n">
        <x:v>1</x:v>
      </x:c>
      <x:c r="G78" s="84" t="n">
        <x:v>3</x:v>
      </x:c>
      <x:c r="H78" s="41" t="str">
        <x:v>Trace Active Path</x:v>
      </x:c>
      <x:c r="I78" s="41" t="str">
        <x:v>Fisheye</x:v>
      </x:c>
      <x:c r="J78" s="84" t="n">
        <x:v>241</x:v>
      </x:c>
      <x:c r="K78" s="84" t="str">
        <x:v>vertical</x:v>
      </x:c>
      <x:c r="L78" s="84" t="n">
        <x:v>91</x:v>
      </x:c>
      <x:c r="M78" s="41" t="str">
        <x:v>Climb Ladder 1</x:v>
      </x:c>
      <x:c r="N78" s="41" t="str">
        <x:v>Path 1 &gt; 2 &gt; 3 &gt; 87 &gt; 89 &gt; 90 &gt; 91</x:v>
      </x:c>
      <x:c r="O78" s="41" t="str">
        <x:v>Report Root &gt; Continuous Tactical Decisions &gt; Reactive Tactical Priority &gt; 5 Vertical Pursuit &gt; Climb Approach &gt; Climb Route 1 &gt; Climb Ladder 1</x:v>
      </x:c>
    </x:row>
    <x:row r="79">
      <x:c r="A79" s="41" t="str">
        <x:v>T076</x:v>
      </x:c>
      <x:c r="B79" s="41" t="str">
        <x:v>P05</x:v>
      </x:c>
      <x:c r="C79" s="41" t="str">
        <x:v>M5</x:v>
      </x:c>
      <x:c r="D79" s="41" t="str">
        <x:v>T2</x:v>
      </x:c>
      <x:c r="E79" s="84" t="n">
        <x:v>5</x:v>
      </x:c>
      <x:c r="F79" s="84" t="n">
        <x:v>1</x:v>
      </x:c>
      <x:c r="G79" s="84" t="n">
        <x:v>4</x:v>
      </x:c>
      <x:c r="H79" s="41" t="str">
        <x:v>Trace Active Path</x:v>
      </x:c>
      <x:c r="I79" s="41" t="str">
        <x:v>Baseline</x:v>
      </x:c>
      <x:c r="J79" s="84" t="n">
        <x:v>241</x:v>
      </x:c>
      <x:c r="K79" s="84" t="str">
        <x:v>search</x:v>
      </x:c>
      <x:c r="L79" s="84" t="n">
        <x:v>156</x:v>
      </x:c>
      <x:c r="M79" s="41" t="str">
        <x:v>Search Movement 1</x:v>
      </x:c>
      <x:c r="N79" s="41" t="str">
        <x:v>Path 1 &gt; 2 &gt; 3 &gt; 152 &gt; 154 &gt; 155 &gt; 156</x:v>
      </x:c>
      <x:c r="O79" s="41" t="str">
        <x:v>Report Root &gt; Continuous Tactical Decisions &gt; Reactive Tactical Priority &gt; 9 Last-Known-Position Search &gt; Search Pattern &gt; Search Pattern 1 &gt; Search Movement 1</x:v>
      </x:c>
    </x:row>
    <x:row r="80">
      <x:c r="A80" s="41" t="str">
        <x:v>T077</x:v>
      </x:c>
      <x:c r="B80" s="41" t="str">
        <x:v>P05</x:v>
      </x:c>
      <x:c r="C80" s="41" t="str">
        <x:v>M5</x:v>
      </x:c>
      <x:c r="D80" s="41" t="str">
        <x:v>T2</x:v>
      </x:c>
      <x:c r="E80" s="84" t="n">
        <x:v>5</x:v>
      </x:c>
      <x:c r="F80" s="84" t="n">
        <x:v>1</x:v>
      </x:c>
      <x:c r="G80" s="84" t="n">
        <x:v>5</x:v>
      </x:c>
      <x:c r="H80" s="41" t="str">
        <x:v>Trace Active Path</x:v>
      </x:c>
      <x:c r="I80" s="41" t="str">
        <x:v>Collapse</x:v>
      </x:c>
      <x:c r="J80" s="84" t="n">
        <x:v>241</x:v>
      </x:c>
      <x:c r="K80" s="84" t="str">
        <x:v>obstacle</x:v>
      </x:c>
      <x:c r="L80" s="84" t="n">
        <x:v>83</x:v>
      </x:c>
      <x:c r="M80" s="41" t="str">
        <x:v>Jump Obstacle 1</x:v>
      </x:c>
      <x:c r="N80" s="41" t="str">
        <x:v>Path 1 &gt; 2 &gt; 3 &gt; 79 &gt; 81 &gt; 82 &gt; 83</x:v>
      </x:c>
      <x:c r="O80" s="41" t="str">
        <x:v>Report Root &gt; Continuous Tactical Decisions &gt; Reactive Tactical Priority &gt; 4 Obstacle Traversal &gt; Obstacle Solution &gt; Vault Route 1 &gt; Jump Obstacle 1</x:v>
      </x:c>
    </x:row>
    <x:row r="81">
      <x:c r="A81" s="41" t="str">
        <x:v>T078</x:v>
      </x:c>
      <x:c r="B81" s="41" t="str">
        <x:v>P05</x:v>
      </x:c>
      <x:c r="C81" s="41" t="str">
        <x:v>M5</x:v>
      </x:c>
      <x:c r="D81" s="41" t="str">
        <x:v>T2</x:v>
      </x:c>
      <x:c r="E81" s="84" t="n">
        <x:v>5</x:v>
      </x:c>
      <x:c r="F81" s="84" t="n">
        <x:v>1</x:v>
      </x:c>
      <x:c r="G81" s="84" t="n">
        <x:v>6</x:v>
      </x:c>
      <x:c r="H81" s="41" t="str">
        <x:v>Trace Active Path</x:v>
      </x:c>
      <x:c r="I81" s="41" t="str">
        <x:v>Compact</x:v>
      </x:c>
      <x:c r="J81" s="84" t="n">
        <x:v>241</x:v>
      </x:c>
      <x:c r="K81" s="84" t="str">
        <x:v>patrol</x:v>
      </x:c>
      <x:c r="L81" s="84" t="n">
        <x:v>201</x:v>
      </x:c>
      <x:c r="M81" s="41" t="str">
        <x:v>Observe Patrol Point 1</x:v>
      </x:c>
      <x:c r="N81" s="41" t="str">
        <x:v>Path 1 &gt; 2 &gt; 3 &gt; 193 &gt; 196 &gt; 197 &gt; 201</x:v>
      </x:c>
      <x:c r="O81" s="41" t="str">
        <x:v>Report Root &gt; Continuous Tactical Decisions &gt; Reactive Tactical Priority &gt; 11 Layered Patrol &gt; Patrol Route Choice &gt; Patrol Route 1 &gt; Observe Patrol Point 1</x:v>
      </x:c>
    </x:row>
    <x:row r="82">
      <x:c r="A82" s="41" t="str">
        <x:v>T079</x:v>
      </x:c>
      <x:c r="B82" s="41" t="str">
        <x:v>P05</x:v>
      </x:c>
      <x:c r="C82" s="41" t="str">
        <x:v>M5</x:v>
      </x:c>
      <x:c r="D82" s="41" t="str">
        <x:v>T2</x:v>
      </x:c>
      <x:c r="E82" s="84" t="n">
        <x:v>5</x:v>
      </x:c>
      <x:c r="F82" s="84" t="n">
        <x:v>2</x:v>
      </x:c>
      <x:c r="G82" s="84" t="n">
        <x:v>1</x:v>
      </x:c>
      <x:c r="H82" s="41" t="str">
        <x:v>Edit Decorator</x:v>
      </x:c>
      <x:c r="I82" s="41" t="str">
        <x:v>Search</x:v>
      </x:c>
      <x:c r="J82" s="84" t="n">
        <x:v>241</x:v>
      </x:c>
      <x:c r="K82" s="84" t="str">
        <x:v>chase</x:v>
      </x:c>
      <x:c r="L82" s="84" t="n">
        <x:v>133</x:v>
      </x:c>
      <x:c r="M82" s="41" t="str">
        <x:v>Chase Step Limit 1</x:v>
      </x:c>
      <x:c r="N82" s="41" t="str">
        <x:v>Owner #130 Chase Movement 1; time_limit; 0.8 -&gt; 0.9</x:v>
      </x:c>
      <x:c r="O82" s="41" t="str">
        <x:v>Set Decorator #133 Duration to 0.9; no other change</x:v>
      </x:c>
    </x:row>
    <x:row r="83">
      <x:c r="A83" s="41" t="str">
        <x:v>T080</x:v>
      </x:c>
      <x:c r="B83" s="41" t="str">
        <x:v>P05</x:v>
      </x:c>
      <x:c r="C83" s="41" t="str">
        <x:v>M5</x:v>
      </x:c>
      <x:c r="D83" s="41" t="str">
        <x:v>T2</x:v>
      </x:c>
      <x:c r="E83" s="84" t="n">
        <x:v>5</x:v>
      </x:c>
      <x:c r="F83" s="84" t="n">
        <x:v>2</x:v>
      </x:c>
      <x:c r="G83" s="84" t="n">
        <x:v>2</x:v>
      </x:c>
      <x:c r="H83" s="41" t="str">
        <x:v>Edit Decorator</x:v>
      </x:c>
      <x:c r="I83" s="41" t="str">
        <x:v>Minimap</x:v>
      </x:c>
      <x:c r="J83" s="84" t="n">
        <x:v>241</x:v>
      </x:c>
      <x:c r="K83" s="84" t="str">
        <x:v>search</x:v>
      </x:c>
      <x:c r="L83" s="84" t="n">
        <x:v>159</x:v>
      </x:c>
      <x:c r="M83" s="41" t="str">
        <x:v>Search Leg Limit 1</x:v>
      </x:c>
      <x:c r="N83" s="41" t="str">
        <x:v>Owner #156 Search Movement 1; time_limit; 1.25 -&gt; 1.35</x:v>
      </x:c>
      <x:c r="O83" s="41" t="str">
        <x:v>Set Decorator #159 Duration to 1.35; no other change</x:v>
      </x:c>
    </x:row>
    <x:row r="84">
      <x:c r="A84" s="41" t="str">
        <x:v>T081</x:v>
      </x:c>
      <x:c r="B84" s="41" t="str">
        <x:v>P05</x:v>
      </x:c>
      <x:c r="C84" s="41" t="str">
        <x:v>M5</x:v>
      </x:c>
      <x:c r="D84" s="41" t="str">
        <x:v>T2</x:v>
      </x:c>
      <x:c r="E84" s="84" t="n">
        <x:v>5</x:v>
      </x:c>
      <x:c r="F84" s="84" t="n">
        <x:v>2</x:v>
      </x:c>
      <x:c r="G84" s="84" t="n">
        <x:v>3</x:v>
      </x:c>
      <x:c r="H84" s="41" t="str">
        <x:v>Edit Decorator</x:v>
      </x:c>
      <x:c r="I84" s="41" t="str">
        <x:v>Fisheye</x:v>
      </x:c>
      <x:c r="J84" s="84" t="n">
        <x:v>241</x:v>
      </x:c>
      <x:c r="K84" s="84" t="str">
        <x:v>pressure</x:v>
      </x:c>
      <x:c r="L84" s="84" t="n">
        <x:v>114</x:v>
      </x:c>
      <x:c r="M84" s="41" t="str">
        <x:v>Pressure Cooldown 1</x:v>
      </x:c>
      <x:c r="N84" s="41" t="str">
        <x:v>Owner #111 Pressure Reposition 1; cooldown; 0.35 -&gt; 0.45</x:v>
      </x:c>
      <x:c r="O84" s="41" t="str">
        <x:v>Set Decorator #114 Duration to 0.45; no other change</x:v>
      </x:c>
    </x:row>
    <x:row r="85">
      <x:c r="A85" s="41" t="str">
        <x:v>T082</x:v>
      </x:c>
      <x:c r="B85" s="41" t="str">
        <x:v>P05</x:v>
      </x:c>
      <x:c r="C85" s="41" t="str">
        <x:v>M5</x:v>
      </x:c>
      <x:c r="D85" s="41" t="str">
        <x:v>T2</x:v>
      </x:c>
      <x:c r="E85" s="84" t="n">
        <x:v>5</x:v>
      </x:c>
      <x:c r="F85" s="84" t="n">
        <x:v>2</x:v>
      </x:c>
      <x:c r="G85" s="84" t="n">
        <x:v>4</x:v>
      </x:c>
      <x:c r="H85" s="41" t="str">
        <x:v>Edit Decorator</x:v>
      </x:c>
      <x:c r="I85" s="41" t="str">
        <x:v>Baseline</x:v>
      </x:c>
      <x:c r="J85" s="84" t="n">
        <x:v>241</x:v>
      </x:c>
      <x:c r="K85" s="84" t="str">
        <x:v>return</x:v>
      </x:c>
      <x:c r="L85" s="84" t="n">
        <x:v>182</x:v>
      </x:c>
      <x:c r="M85" s="41" t="str">
        <x:v>Return Step Limit 1</x:v>
      </x:c>
      <x:c r="N85" s="41" t="str">
        <x:v>Owner #179 Return Movement 1; time_limit; 0.9 -&gt; 1</x:v>
      </x:c>
      <x:c r="O85" s="41" t="str">
        <x:v>Set Decorator #182 Duration to 1; no other change</x:v>
      </x:c>
    </x:row>
    <x:row r="86">
      <x:c r="A86" s="41" t="str">
        <x:v>T083</x:v>
      </x:c>
      <x:c r="B86" s="41" t="str">
        <x:v>P05</x:v>
      </x:c>
      <x:c r="C86" s="41" t="str">
        <x:v>M5</x:v>
      </x:c>
      <x:c r="D86" s="41" t="str">
        <x:v>T2</x:v>
      </x:c>
      <x:c r="E86" s="84" t="n">
        <x:v>5</x:v>
      </x:c>
      <x:c r="F86" s="84" t="n">
        <x:v>2</x:v>
      </x:c>
      <x:c r="G86" s="84" t="n">
        <x:v>5</x:v>
      </x:c>
      <x:c r="H86" s="41" t="str">
        <x:v>Edit Decorator</x:v>
      </x:c>
      <x:c r="I86" s="41" t="str">
        <x:v>Collapse</x:v>
      </x:c>
      <x:c r="J86" s="84" t="n">
        <x:v>241</x:v>
      </x:c>
      <x:c r="K86" s="84" t="str">
        <x:v>defense</x:v>
      </x:c>
      <x:c r="L86" s="84" t="n">
        <x:v>31</x:v>
      </x:c>
      <x:c r="M86" s="41" t="str">
        <x:v>Defense Cooldown 1</x:v>
      </x:c>
      <x:c r="N86" s="41" t="str">
        <x:v>Owner #29 Dodge Left; cooldown; 0.45 -&gt; 0.55</x:v>
      </x:c>
      <x:c r="O86" s="41" t="str">
        <x:v>Set Decorator #31 Duration to 0.55; no other change</x:v>
      </x:c>
    </x:row>
    <x:row r="87">
      <x:c r="A87" s="41" t="str">
        <x:v>T084</x:v>
      </x:c>
      <x:c r="B87" s="41" t="str">
        <x:v>P05</x:v>
      </x:c>
      <x:c r="C87" s="41" t="str">
        <x:v>M5</x:v>
      </x:c>
      <x:c r="D87" s="41" t="str">
        <x:v>T2</x:v>
      </x:c>
      <x:c r="E87" s="84" t="n">
        <x:v>5</x:v>
      </x:c>
      <x:c r="F87" s="84" t="n">
        <x:v>2</x:v>
      </x:c>
      <x:c r="G87" s="84" t="n">
        <x:v>6</x:v>
      </x:c>
      <x:c r="H87" s="41" t="str">
        <x:v>Edit Decorator</x:v>
      </x:c>
      <x:c r="I87" s="41" t="str">
        <x:v>Compact</x:v>
      </x:c>
      <x:c r="J87" s="84" t="n">
        <x:v>241</x:v>
      </x:c>
      <x:c r="K87" s="84" t="str">
        <x:v>patrol</x:v>
      </x:c>
      <x:c r="L87" s="84" t="n">
        <x:v>202</x:v>
      </x:c>
      <x:c r="M87" s="41" t="str">
        <x:v>Patrol Leg Limit 1</x:v>
      </x:c>
      <x:c r="N87" s="41" t="str">
        <x:v>Owner #199 Patrol Movement 1; time_limit; 1.5 -&gt; 1.6</x:v>
      </x:c>
      <x:c r="O87" s="41" t="str">
        <x:v>Set Decorator #202 Duration to 1.6; no other change</x:v>
      </x:c>
    </x:row>
    <x:row r="88">
      <x:c r="A88" s="41" t="str">
        <x:v>T085</x:v>
      </x:c>
      <x:c r="B88" s="41" t="str">
        <x:v>P05</x:v>
      </x:c>
      <x:c r="C88" s="41" t="str">
        <x:v>M5</x:v>
      </x:c>
      <x:c r="D88" s="41" t="str">
        <x:v>T2</x:v>
      </x:c>
      <x:c r="E88" s="84" t="n">
        <x:v>5</x:v>
      </x:c>
      <x:c r="F88" s="84" t="n">
        <x:v>3</x:v>
      </x:c>
      <x:c r="G88" s="84" t="n">
        <x:v>1</x:v>
      </x:c>
      <x:c r="H88" s="41" t="str">
        <x:v>Locate Action</x:v>
      </x:c>
      <x:c r="I88" s="41" t="str">
        <x:v>Search</x:v>
      </x:c>
      <x:c r="J88" s="84" t="n">
        <x:v>241</x:v>
      </x:c>
      <x:c r="K88" s="84" t="str">
        <x:v>ranged</x:v>
      </x:c>
      <x:c r="L88" s="84" t="n">
        <x:v>101</x:v>
      </x:c>
      <x:c r="M88" s="41" t="str">
        <x:v>Fire Projectile 1</x:v>
      </x:c>
      <x:c r="N88" s="41" t="str">
        <x:v>Path 1 &gt; 2 &gt; 3 &gt; 95 &gt; 97 &gt; 98 &gt; 101</x:v>
      </x:c>
      <x:c r="O88" s="41" t="str">
        <x:v>Select #101 Fire Projectile 1</x:v>
      </x:c>
    </x:row>
    <x:row r="89">
      <x:c r="A89" s="41" t="str">
        <x:v>T086</x:v>
      </x:c>
      <x:c r="B89" s="41" t="str">
        <x:v>P05</x:v>
      </x:c>
      <x:c r="C89" s="41" t="str">
        <x:v>M5</x:v>
      </x:c>
      <x:c r="D89" s="41" t="str">
        <x:v>T2</x:v>
      </x:c>
      <x:c r="E89" s="84" t="n">
        <x:v>5</x:v>
      </x:c>
      <x:c r="F89" s="84" t="n">
        <x:v>3</x:v>
      </x:c>
      <x:c r="G89" s="84" t="n">
        <x:v>2</x:v>
      </x:c>
      <x:c r="H89" s="41" t="str">
        <x:v>Locate Action</x:v>
      </x:c>
      <x:c r="I89" s="41" t="str">
        <x:v>Minimap</x:v>
      </x:c>
      <x:c r="J89" s="84" t="n">
        <x:v>241</x:v>
      </x:c>
      <x:c r="K89" s="84" t="str">
        <x:v>pressure</x:v>
      </x:c>
      <x:c r="L89" s="84" t="n">
        <x:v>113</x:v>
      </x:c>
      <x:c r="M89" s="41" t="str">
        <x:v>Pressure Advance 1</x:v>
      </x:c>
      <x:c r="N89" s="41" t="str">
        <x:v>Path 1 &gt; 2 &gt; 3 &gt; 107 &gt; 109 &gt; 110 &gt; 113</x:v>
      </x:c>
      <x:c r="O89" s="41" t="str">
        <x:v>Select #113 Pressure Advance 1</x:v>
      </x:c>
    </x:row>
    <x:row r="90">
      <x:c r="A90" s="41" t="str">
        <x:v>T087</x:v>
      </x:c>
      <x:c r="B90" s="41" t="str">
        <x:v>P05</x:v>
      </x:c>
      <x:c r="C90" s="41" t="str">
        <x:v>M5</x:v>
      </x:c>
      <x:c r="D90" s="41" t="str">
        <x:v>T2</x:v>
      </x:c>
      <x:c r="E90" s="84" t="n">
        <x:v>5</x:v>
      </x:c>
      <x:c r="F90" s="84" t="n">
        <x:v>3</x:v>
      </x:c>
      <x:c r="G90" s="84" t="n">
        <x:v>3</x:v>
      </x:c>
      <x:c r="H90" s="41" t="str">
        <x:v>Locate Action</x:v>
      </x:c>
      <x:c r="I90" s="41" t="str">
        <x:v>Fisheye</x:v>
      </x:c>
      <x:c r="J90" s="84" t="n">
        <x:v>241</x:v>
      </x:c>
      <x:c r="K90" s="84" t="str">
        <x:v>vertical</x:v>
      </x:c>
      <x:c r="L90" s="84" t="n">
        <x:v>91</x:v>
      </x:c>
      <x:c r="M90" s="41" t="str">
        <x:v>Climb Ladder 1</x:v>
      </x:c>
      <x:c r="N90" s="41" t="str">
        <x:v>Path 1 &gt; 2 &gt; 3 &gt; 87 &gt; 89 &gt; 90 &gt; 91</x:v>
      </x:c>
      <x:c r="O90" s="41" t="str">
        <x:v>Select #91 Climb Ladder 1</x:v>
      </x:c>
    </x:row>
    <x:row r="91">
      <x:c r="A91" s="41" t="str">
        <x:v>T088</x:v>
      </x:c>
      <x:c r="B91" s="41" t="str">
        <x:v>P05</x:v>
      </x:c>
      <x:c r="C91" s="41" t="str">
        <x:v>M5</x:v>
      </x:c>
      <x:c r="D91" s="41" t="str">
        <x:v>T2</x:v>
      </x:c>
      <x:c r="E91" s="84" t="n">
        <x:v>5</x:v>
      </x:c>
      <x:c r="F91" s="84" t="n">
        <x:v>3</x:v>
      </x:c>
      <x:c r="G91" s="84" t="n">
        <x:v>4</x:v>
      </x:c>
      <x:c r="H91" s="41" t="str">
        <x:v>Locate Action</x:v>
      </x:c>
      <x:c r="I91" s="41" t="str">
        <x:v>Baseline</x:v>
      </x:c>
      <x:c r="J91" s="84" t="n">
        <x:v>241</x:v>
      </x:c>
      <x:c r="K91" s="84" t="str">
        <x:v>search</x:v>
      </x:c>
      <x:c r="L91" s="84" t="n">
        <x:v>156</x:v>
      </x:c>
      <x:c r="M91" s="41" t="str">
        <x:v>Search Movement 1</x:v>
      </x:c>
      <x:c r="N91" s="41" t="str">
        <x:v>Path 1 &gt; 2 &gt; 3 &gt; 152 &gt; 154 &gt; 155 &gt; 156</x:v>
      </x:c>
      <x:c r="O91" s="41" t="str">
        <x:v>Select #156 Search Movement 1</x:v>
      </x:c>
    </x:row>
    <x:row r="92">
      <x:c r="A92" s="41" t="str">
        <x:v>T089</x:v>
      </x:c>
      <x:c r="B92" s="41" t="str">
        <x:v>P05</x:v>
      </x:c>
      <x:c r="C92" s="41" t="str">
        <x:v>M5</x:v>
      </x:c>
      <x:c r="D92" s="41" t="str">
        <x:v>T2</x:v>
      </x:c>
      <x:c r="E92" s="84" t="n">
        <x:v>5</x:v>
      </x:c>
      <x:c r="F92" s="84" t="n">
        <x:v>3</x:v>
      </x:c>
      <x:c r="G92" s="84" t="n">
        <x:v>5</x:v>
      </x:c>
      <x:c r="H92" s="41" t="str">
        <x:v>Locate Action</x:v>
      </x:c>
      <x:c r="I92" s="41" t="str">
        <x:v>Collapse</x:v>
      </x:c>
      <x:c r="J92" s="84" t="n">
        <x:v>241</x:v>
      </x:c>
      <x:c r="K92" s="84" t="str">
        <x:v>obstacle</x:v>
      </x:c>
      <x:c r="L92" s="84" t="n">
        <x:v>83</x:v>
      </x:c>
      <x:c r="M92" s="41" t="str">
        <x:v>Jump Obstacle 1</x:v>
      </x:c>
      <x:c r="N92" s="41" t="str">
        <x:v>Path 1 &gt; 2 &gt; 3 &gt; 79 &gt; 81 &gt; 82 &gt; 83</x:v>
      </x:c>
      <x:c r="O92" s="41" t="str">
        <x:v>Select #83 Jump Obstacle 1</x:v>
      </x:c>
    </x:row>
    <x:row r="93">
      <x:c r="A93" s="41" t="str">
        <x:v>T090</x:v>
      </x:c>
      <x:c r="B93" s="41" t="str">
        <x:v>P05</x:v>
      </x:c>
      <x:c r="C93" s="41" t="str">
        <x:v>M5</x:v>
      </x:c>
      <x:c r="D93" s="41" t="str">
        <x:v>T2</x:v>
      </x:c>
      <x:c r="E93" s="84" t="n">
        <x:v>5</x:v>
      </x:c>
      <x:c r="F93" s="84" t="n">
        <x:v>3</x:v>
      </x:c>
      <x:c r="G93" s="84" t="n">
        <x:v>6</x:v>
      </x:c>
      <x:c r="H93" s="41" t="str">
        <x:v>Locate Action</x:v>
      </x:c>
      <x:c r="I93" s="41" t="str">
        <x:v>Compact</x:v>
      </x:c>
      <x:c r="J93" s="84" t="n">
        <x:v>241</x:v>
      </x:c>
      <x:c r="K93" s="84" t="str">
        <x:v>patrol</x:v>
      </x:c>
      <x:c r="L93" s="84" t="n">
        <x:v>201</x:v>
      </x:c>
      <x:c r="M93" s="41" t="str">
        <x:v>Observe Patrol Point 1</x:v>
      </x:c>
      <x:c r="N93" s="41" t="str">
        <x:v>Path 1 &gt; 2 &gt; 3 &gt; 193 &gt; 196 &gt; 197 &gt; 201</x:v>
      </x:c>
      <x:c r="O93" s="41" t="str">
        <x:v>Select #201 Observe Patrol Point 1</x:v>
      </x:c>
    </x:row>
    <x:row r="94">
      <x:c r="A94" s="41" t="str">
        <x:v>T091</x:v>
      </x:c>
      <x:c r="B94" s="41" t="str">
        <x:v>P06</x:v>
      </x:c>
      <x:c r="C94" s="41" t="str">
        <x:v>M6</x:v>
      </x:c>
      <x:c r="D94" s="41" t="str">
        <x:v>T3</x:v>
      </x:c>
      <x:c r="E94" s="84" t="n">
        <x:v>6</x:v>
      </x:c>
      <x:c r="F94" s="84" t="n">
        <x:v>1</x:v>
      </x:c>
      <x:c r="G94" s="84" t="n">
        <x:v>1</x:v>
      </x:c>
      <x:c r="H94" s="41" t="str">
        <x:v>Edit Decorator</x:v>
      </x:c>
      <x:c r="I94" s="41" t="str">
        <x:v>Minimap</x:v>
      </x:c>
      <x:c r="J94" s="84" t="n">
        <x:v>241</x:v>
      </x:c>
      <x:c r="K94" s="84" t="str">
        <x:v>return</x:v>
      </x:c>
      <x:c r="L94" s="84" t="n">
        <x:v>182</x:v>
      </x:c>
      <x:c r="M94" s="41" t="str">
        <x:v>Return Step Limit 1</x:v>
      </x:c>
      <x:c r="N94" s="41" t="str">
        <x:v>Owner #179 Return Movement 1; time_limit; 0.9 -&gt; 1</x:v>
      </x:c>
      <x:c r="O94" s="41" t="str">
        <x:v>Set Decorator #182 Duration to 1; no other change</x:v>
      </x:c>
    </x:row>
    <x:row r="95">
      <x:c r="A95" s="41" t="str">
        <x:v>T092</x:v>
      </x:c>
      <x:c r="B95" s="41" t="str">
        <x:v>P06</x:v>
      </x:c>
      <x:c r="C95" s="41" t="str">
        <x:v>M6</x:v>
      </x:c>
      <x:c r="D95" s="41" t="str">
        <x:v>T3</x:v>
      </x:c>
      <x:c r="E95" s="84" t="n">
        <x:v>6</x:v>
      </x:c>
      <x:c r="F95" s="84" t="n">
        <x:v>1</x:v>
      </x:c>
      <x:c r="G95" s="84" t="n">
        <x:v>2</x:v>
      </x:c>
      <x:c r="H95" s="41" t="str">
        <x:v>Edit Decorator</x:v>
      </x:c>
      <x:c r="I95" s="41" t="str">
        <x:v>Baseline</x:v>
      </x:c>
      <x:c r="J95" s="84" t="n">
        <x:v>241</x:v>
      </x:c>
      <x:c r="K95" s="84" t="str">
        <x:v>patrol</x:v>
      </x:c>
      <x:c r="L95" s="84" t="n">
        <x:v>202</x:v>
      </x:c>
      <x:c r="M95" s="41" t="str">
        <x:v>Patrol Leg Limit 1</x:v>
      </x:c>
      <x:c r="N95" s="41" t="str">
        <x:v>Owner #199 Patrol Movement 1; time_limit; 1.5 -&gt; 1.6</x:v>
      </x:c>
      <x:c r="O95" s="41" t="str">
        <x:v>Set Decorator #202 Duration to 1.6; no other change</x:v>
      </x:c>
    </x:row>
    <x:row r="96">
      <x:c r="A96" s="41" t="str">
        <x:v>T093</x:v>
      </x:c>
      <x:c r="B96" s="41" t="str">
        <x:v>P06</x:v>
      </x:c>
      <x:c r="C96" s="41" t="str">
        <x:v>M6</x:v>
      </x:c>
      <x:c r="D96" s="41" t="str">
        <x:v>T3</x:v>
      </x:c>
      <x:c r="E96" s="84" t="n">
        <x:v>6</x:v>
      </x:c>
      <x:c r="F96" s="84" t="n">
        <x:v>1</x:v>
      </x:c>
      <x:c r="G96" s="84" t="n">
        <x:v>3</x:v>
      </x:c>
      <x:c r="H96" s="41" t="str">
        <x:v>Edit Decorator</x:v>
      </x:c>
      <x:c r="I96" s="41" t="str">
        <x:v>Search</x:v>
      </x:c>
      <x:c r="J96" s="84" t="n">
        <x:v>241</x:v>
      </x:c>
      <x:c r="K96" s="84" t="str">
        <x:v>search</x:v>
      </x:c>
      <x:c r="L96" s="84" t="n">
        <x:v>159</x:v>
      </x:c>
      <x:c r="M96" s="41" t="str">
        <x:v>Search Leg Limit 1</x:v>
      </x:c>
      <x:c r="N96" s="41" t="str">
        <x:v>Owner #156 Search Movement 1; time_limit; 1.25 -&gt; 1.35</x:v>
      </x:c>
      <x:c r="O96" s="41" t="str">
        <x:v>Set Decorator #159 Duration to 1.35; no other change</x:v>
      </x:c>
    </x:row>
    <x:row r="97">
      <x:c r="A97" s="41" t="str">
        <x:v>T094</x:v>
      </x:c>
      <x:c r="B97" s="41" t="str">
        <x:v>P06</x:v>
      </x:c>
      <x:c r="C97" s="41" t="str">
        <x:v>M6</x:v>
      </x:c>
      <x:c r="D97" s="41" t="str">
        <x:v>T3</x:v>
      </x:c>
      <x:c r="E97" s="84" t="n">
        <x:v>6</x:v>
      </x:c>
      <x:c r="F97" s="84" t="n">
        <x:v>1</x:v>
      </x:c>
      <x:c r="G97" s="84" t="n">
        <x:v>4</x:v>
      </x:c>
      <x:c r="H97" s="41" t="str">
        <x:v>Edit Decorator</x:v>
      </x:c>
      <x:c r="I97" s="41" t="str">
        <x:v>Compact</x:v>
      </x:c>
      <x:c r="J97" s="84" t="n">
        <x:v>241</x:v>
      </x:c>
      <x:c r="K97" s="84" t="str">
        <x:v>defense</x:v>
      </x:c>
      <x:c r="L97" s="84" t="n">
        <x:v>31</x:v>
      </x:c>
      <x:c r="M97" s="41" t="str">
        <x:v>Defense Cooldown 1</x:v>
      </x:c>
      <x:c r="N97" s="41" t="str">
        <x:v>Owner #29 Dodge Left; cooldown; 0.45 -&gt; 0.55</x:v>
      </x:c>
      <x:c r="O97" s="41" t="str">
        <x:v>Set Decorator #31 Duration to 0.55; no other change</x:v>
      </x:c>
    </x:row>
    <x:row r="98">
      <x:c r="A98" s="41" t="str">
        <x:v>T095</x:v>
      </x:c>
      <x:c r="B98" s="41" t="str">
        <x:v>P06</x:v>
      </x:c>
      <x:c r="C98" s="41" t="str">
        <x:v>M6</x:v>
      </x:c>
      <x:c r="D98" s="41" t="str">
        <x:v>T3</x:v>
      </x:c>
      <x:c r="E98" s="84" t="n">
        <x:v>6</x:v>
      </x:c>
      <x:c r="F98" s="84" t="n">
        <x:v>1</x:v>
      </x:c>
      <x:c r="G98" s="84" t="n">
        <x:v>5</x:v>
      </x:c>
      <x:c r="H98" s="41" t="str">
        <x:v>Edit Decorator</x:v>
      </x:c>
      <x:c r="I98" s="41" t="str">
        <x:v>Fisheye</x:v>
      </x:c>
      <x:c r="J98" s="84" t="n">
        <x:v>241</x:v>
      </x:c>
      <x:c r="K98" s="84" t="str">
        <x:v>chase</x:v>
      </x:c>
      <x:c r="L98" s="84" t="n">
        <x:v>133</x:v>
      </x:c>
      <x:c r="M98" s="41" t="str">
        <x:v>Chase Step Limit 1</x:v>
      </x:c>
      <x:c r="N98" s="41" t="str">
        <x:v>Owner #130 Chase Movement 1; time_limit; 0.8 -&gt; 0.9</x:v>
      </x:c>
      <x:c r="O98" s="41" t="str">
        <x:v>Set Decorator #133 Duration to 0.9; no other change</x:v>
      </x:c>
    </x:row>
    <x:row r="99">
      <x:c r="A99" s="41" t="str">
        <x:v>T096</x:v>
      </x:c>
      <x:c r="B99" s="41" t="str">
        <x:v>P06</x:v>
      </x:c>
      <x:c r="C99" s="41" t="str">
        <x:v>M6</x:v>
      </x:c>
      <x:c r="D99" s="41" t="str">
        <x:v>T3</x:v>
      </x:c>
      <x:c r="E99" s="84" t="n">
        <x:v>6</x:v>
      </x:c>
      <x:c r="F99" s="84" t="n">
        <x:v>1</x:v>
      </x:c>
      <x:c r="G99" s="84" t="n">
        <x:v>6</x:v>
      </x:c>
      <x:c r="H99" s="41" t="str">
        <x:v>Edit Decorator</x:v>
      </x:c>
      <x:c r="I99" s="41" t="str">
        <x:v>Collapse</x:v>
      </x:c>
      <x:c r="J99" s="84" t="n">
        <x:v>241</x:v>
      </x:c>
      <x:c r="K99" s="84" t="str">
        <x:v>pressure</x:v>
      </x:c>
      <x:c r="L99" s="84" t="n">
        <x:v>114</x:v>
      </x:c>
      <x:c r="M99" s="41" t="str">
        <x:v>Pressure Cooldown 1</x:v>
      </x:c>
      <x:c r="N99" s="41" t="str">
        <x:v>Owner #111 Pressure Reposition 1; cooldown; 0.35 -&gt; 0.45</x:v>
      </x:c>
      <x:c r="O99" s="41" t="str">
        <x:v>Set Decorator #114 Duration to 0.45; no other change</x:v>
      </x:c>
    </x:row>
    <x:row r="100">
      <x:c r="A100" s="41" t="str">
        <x:v>T097</x:v>
      </x:c>
      <x:c r="B100" s="41" t="str">
        <x:v>P06</x:v>
      </x:c>
      <x:c r="C100" s="41" t="str">
        <x:v>M6</x:v>
      </x:c>
      <x:c r="D100" s="41" t="str">
        <x:v>T3</x:v>
      </x:c>
      <x:c r="E100" s="84" t="n">
        <x:v>6</x:v>
      </x:c>
      <x:c r="F100" s="84" t="n">
        <x:v>2</x:v>
      </x:c>
      <x:c r="G100" s="84" t="n">
        <x:v>1</x:v>
      </x:c>
      <x:c r="H100" s="41" t="str">
        <x:v>Locate Action</x:v>
      </x:c>
      <x:c r="I100" s="41" t="str">
        <x:v>Minimap</x:v>
      </x:c>
      <x:c r="J100" s="84" t="n">
        <x:v>241</x:v>
      </x:c>
      <x:c r="K100" s="84" t="str">
        <x:v>search</x:v>
      </x:c>
      <x:c r="L100" s="84" t="n">
        <x:v>156</x:v>
      </x:c>
      <x:c r="M100" s="41" t="str">
        <x:v>Search Movement 1</x:v>
      </x:c>
      <x:c r="N100" s="41" t="str">
        <x:v>Path 1 &gt; 2 &gt; 3 &gt; 152 &gt; 154 &gt; 155 &gt; 156</x:v>
      </x:c>
      <x:c r="O100" s="41" t="str">
        <x:v>Select #156 Search Movement 1</x:v>
      </x:c>
    </x:row>
    <x:row r="101">
      <x:c r="A101" s="41" t="str">
        <x:v>T098</x:v>
      </x:c>
      <x:c r="B101" s="41" t="str">
        <x:v>P06</x:v>
      </x:c>
      <x:c r="C101" s="41" t="str">
        <x:v>M6</x:v>
      </x:c>
      <x:c r="D101" s="41" t="str">
        <x:v>T3</x:v>
      </x:c>
      <x:c r="E101" s="84" t="n">
        <x:v>6</x:v>
      </x:c>
      <x:c r="F101" s="84" t="n">
        <x:v>2</x:v>
      </x:c>
      <x:c r="G101" s="84" t="n">
        <x:v>2</x:v>
      </x:c>
      <x:c r="H101" s="41" t="str">
        <x:v>Locate Action</x:v>
      </x:c>
      <x:c r="I101" s="41" t="str">
        <x:v>Baseline</x:v>
      </x:c>
      <x:c r="J101" s="84" t="n">
        <x:v>241</x:v>
      </x:c>
      <x:c r="K101" s="84" t="str">
        <x:v>patrol</x:v>
      </x:c>
      <x:c r="L101" s="84" t="n">
        <x:v>201</x:v>
      </x:c>
      <x:c r="M101" s="41" t="str">
        <x:v>Observe Patrol Point 1</x:v>
      </x:c>
      <x:c r="N101" s="41" t="str">
        <x:v>Path 1 &gt; 2 &gt; 3 &gt; 193 &gt; 196 &gt; 197 &gt; 201</x:v>
      </x:c>
      <x:c r="O101" s="41" t="str">
        <x:v>Select #201 Observe Patrol Point 1</x:v>
      </x:c>
    </x:row>
    <x:row r="102">
      <x:c r="A102" s="41" t="str">
        <x:v>T099</x:v>
      </x:c>
      <x:c r="B102" s="41" t="str">
        <x:v>P06</x:v>
      </x:c>
      <x:c r="C102" s="41" t="str">
        <x:v>M6</x:v>
      </x:c>
      <x:c r="D102" s="41" t="str">
        <x:v>T3</x:v>
      </x:c>
      <x:c r="E102" s="84" t="n">
        <x:v>6</x:v>
      </x:c>
      <x:c r="F102" s="84" t="n">
        <x:v>2</x:v>
      </x:c>
      <x:c r="G102" s="84" t="n">
        <x:v>3</x:v>
      </x:c>
      <x:c r="H102" s="41" t="str">
        <x:v>Locate Action</x:v>
      </x:c>
      <x:c r="I102" s="41" t="str">
        <x:v>Search</x:v>
      </x:c>
      <x:c r="J102" s="84" t="n">
        <x:v>241</x:v>
      </x:c>
      <x:c r="K102" s="84" t="str">
        <x:v>pressure</x:v>
      </x:c>
      <x:c r="L102" s="84" t="n">
        <x:v>113</x:v>
      </x:c>
      <x:c r="M102" s="41" t="str">
        <x:v>Pressure Advance 1</x:v>
      </x:c>
      <x:c r="N102" s="41" t="str">
        <x:v>Path 1 &gt; 2 &gt; 3 &gt; 107 &gt; 109 &gt; 110 &gt; 113</x:v>
      </x:c>
      <x:c r="O102" s="41" t="str">
        <x:v>Select #113 Pressure Advance 1</x:v>
      </x:c>
    </x:row>
    <x:row r="103">
      <x:c r="A103" s="41" t="str">
        <x:v>T100</x:v>
      </x:c>
      <x:c r="B103" s="41" t="str">
        <x:v>P06</x:v>
      </x:c>
      <x:c r="C103" s="41" t="str">
        <x:v>M6</x:v>
      </x:c>
      <x:c r="D103" s="41" t="str">
        <x:v>T3</x:v>
      </x:c>
      <x:c r="E103" s="84" t="n">
        <x:v>6</x:v>
      </x:c>
      <x:c r="F103" s="84" t="n">
        <x:v>2</x:v>
      </x:c>
      <x:c r="G103" s="84" t="n">
        <x:v>4</x:v>
      </x:c>
      <x:c r="H103" s="41" t="str">
        <x:v>Locate Action</x:v>
      </x:c>
      <x:c r="I103" s="41" t="str">
        <x:v>Compact</x:v>
      </x:c>
      <x:c r="J103" s="84" t="n">
        <x:v>241</x:v>
      </x:c>
      <x:c r="K103" s="84" t="str">
        <x:v>obstacle</x:v>
      </x:c>
      <x:c r="L103" s="84" t="n">
        <x:v>83</x:v>
      </x:c>
      <x:c r="M103" s="41" t="str">
        <x:v>Jump Obstacle 1</x:v>
      </x:c>
      <x:c r="N103" s="41" t="str">
        <x:v>Path 1 &gt; 2 &gt; 3 &gt; 79 &gt; 81 &gt; 82 &gt; 83</x:v>
      </x:c>
      <x:c r="O103" s="41" t="str">
        <x:v>Select #83 Jump Obstacle 1</x:v>
      </x:c>
    </x:row>
    <x:row r="104">
      <x:c r="A104" s="41" t="str">
        <x:v>T101</x:v>
      </x:c>
      <x:c r="B104" s="41" t="str">
        <x:v>P06</x:v>
      </x:c>
      <x:c r="C104" s="41" t="str">
        <x:v>M6</x:v>
      </x:c>
      <x:c r="D104" s="41" t="str">
        <x:v>T3</x:v>
      </x:c>
      <x:c r="E104" s="84" t="n">
        <x:v>6</x:v>
      </x:c>
      <x:c r="F104" s="84" t="n">
        <x:v>2</x:v>
      </x:c>
      <x:c r="G104" s="84" t="n">
        <x:v>5</x:v>
      </x:c>
      <x:c r="H104" s="41" t="str">
        <x:v>Locate Action</x:v>
      </x:c>
      <x:c r="I104" s="41" t="str">
        <x:v>Fisheye</x:v>
      </x:c>
      <x:c r="J104" s="84" t="n">
        <x:v>241</x:v>
      </x:c>
      <x:c r="K104" s="84" t="str">
        <x:v>ranged</x:v>
      </x:c>
      <x:c r="L104" s="84" t="n">
        <x:v>101</x:v>
      </x:c>
      <x:c r="M104" s="41" t="str">
        <x:v>Fire Projectile 1</x:v>
      </x:c>
      <x:c r="N104" s="41" t="str">
        <x:v>Path 1 &gt; 2 &gt; 3 &gt; 95 &gt; 97 &gt; 98 &gt; 101</x:v>
      </x:c>
      <x:c r="O104" s="41" t="str">
        <x:v>Select #101 Fire Projectile 1</x:v>
      </x:c>
    </x:row>
    <x:row r="105">
      <x:c r="A105" s="41" t="str">
        <x:v>T102</x:v>
      </x:c>
      <x:c r="B105" s="41" t="str">
        <x:v>P06</x:v>
      </x:c>
      <x:c r="C105" s="41" t="str">
        <x:v>M6</x:v>
      </x:c>
      <x:c r="D105" s="41" t="str">
        <x:v>T3</x:v>
      </x:c>
      <x:c r="E105" s="84" t="n">
        <x:v>6</x:v>
      </x:c>
      <x:c r="F105" s="84" t="n">
        <x:v>2</x:v>
      </x:c>
      <x:c r="G105" s="84" t="n">
        <x:v>6</x:v>
      </x:c>
      <x:c r="H105" s="41" t="str">
        <x:v>Locate Action</x:v>
      </x:c>
      <x:c r="I105" s="41" t="str">
        <x:v>Collapse</x:v>
      </x:c>
      <x:c r="J105" s="84" t="n">
        <x:v>241</x:v>
      </x:c>
      <x:c r="K105" s="84" t="str">
        <x:v>vertical</x:v>
      </x:c>
      <x:c r="L105" s="84" t="n">
        <x:v>91</x:v>
      </x:c>
      <x:c r="M105" s="41" t="str">
        <x:v>Climb Ladder 1</x:v>
      </x:c>
      <x:c r="N105" s="41" t="str">
        <x:v>Path 1 &gt; 2 &gt; 3 &gt; 87 &gt; 89 &gt; 90 &gt; 91</x:v>
      </x:c>
      <x:c r="O105" s="41" t="str">
        <x:v>Select #91 Climb Ladder 1</x:v>
      </x:c>
    </x:row>
    <x:row r="106">
      <x:c r="A106" s="41" t="str">
        <x:v>T103</x:v>
      </x:c>
      <x:c r="B106" s="41" t="str">
        <x:v>P06</x:v>
      </x:c>
      <x:c r="C106" s="41" t="str">
        <x:v>M6</x:v>
      </x:c>
      <x:c r="D106" s="41" t="str">
        <x:v>T3</x:v>
      </x:c>
      <x:c r="E106" s="84" t="n">
        <x:v>6</x:v>
      </x:c>
      <x:c r="F106" s="84" t="n">
        <x:v>3</x:v>
      </x:c>
      <x:c r="G106" s="84" t="n">
        <x:v>1</x:v>
      </x:c>
      <x:c r="H106" s="41" t="str">
        <x:v>Trace Active Path</x:v>
      </x:c>
      <x:c r="I106" s="41" t="str">
        <x:v>Minimap</x:v>
      </x:c>
      <x:c r="J106" s="84" t="n">
        <x:v>241</x:v>
      </x:c>
      <x:c r="K106" s="84" t="str">
        <x:v>search</x:v>
      </x:c>
      <x:c r="L106" s="84" t="n">
        <x:v>156</x:v>
      </x:c>
      <x:c r="M106" s="41" t="str">
        <x:v>Search Movement 1</x:v>
      </x:c>
      <x:c r="N106" s="41" t="str">
        <x:v>Path 1 &gt; 2 &gt; 3 &gt; 152 &gt; 154 &gt; 155 &gt; 156</x:v>
      </x:c>
      <x:c r="O106" s="41" t="str">
        <x:v>Report Root &gt; Continuous Tactical Decisions &gt; Reactive Tactical Priority &gt; 9 Last-Known-Position Search &gt; Search Pattern &gt; Search Pattern 1 &gt; Search Movement 1</x:v>
      </x:c>
    </x:row>
    <x:row r="107">
      <x:c r="A107" s="41" t="str">
        <x:v>T104</x:v>
      </x:c>
      <x:c r="B107" s="41" t="str">
        <x:v>P06</x:v>
      </x:c>
      <x:c r="C107" s="41" t="str">
        <x:v>M6</x:v>
      </x:c>
      <x:c r="D107" s="41" t="str">
        <x:v>T3</x:v>
      </x:c>
      <x:c r="E107" s="84" t="n">
        <x:v>6</x:v>
      </x:c>
      <x:c r="F107" s="84" t="n">
        <x:v>3</x:v>
      </x:c>
      <x:c r="G107" s="84" t="n">
        <x:v>2</x:v>
      </x:c>
      <x:c r="H107" s="41" t="str">
        <x:v>Trace Active Path</x:v>
      </x:c>
      <x:c r="I107" s="41" t="str">
        <x:v>Baseline</x:v>
      </x:c>
      <x:c r="J107" s="84" t="n">
        <x:v>241</x:v>
      </x:c>
      <x:c r="K107" s="84" t="str">
        <x:v>patrol</x:v>
      </x:c>
      <x:c r="L107" s="84" t="n">
        <x:v>201</x:v>
      </x:c>
      <x:c r="M107" s="41" t="str">
        <x:v>Observe Patrol Point 1</x:v>
      </x:c>
      <x:c r="N107" s="41" t="str">
        <x:v>Path 1 &gt; 2 &gt; 3 &gt; 193 &gt; 196 &gt; 197 &gt; 201</x:v>
      </x:c>
      <x:c r="O107" s="41" t="str">
        <x:v>Report Root &gt; Continuous Tactical Decisions &gt; Reactive Tactical Priority &gt; 11 Layered Patrol &gt; Patrol Route Choice &gt; Patrol Route 1 &gt; Observe Patrol Point 1</x:v>
      </x:c>
    </x:row>
    <x:row r="108">
      <x:c r="A108" s="41" t="str">
        <x:v>T105</x:v>
      </x:c>
      <x:c r="B108" s="41" t="str">
        <x:v>P06</x:v>
      </x:c>
      <x:c r="C108" s="41" t="str">
        <x:v>M6</x:v>
      </x:c>
      <x:c r="D108" s="41" t="str">
        <x:v>T3</x:v>
      </x:c>
      <x:c r="E108" s="84" t="n">
        <x:v>6</x:v>
      </x:c>
      <x:c r="F108" s="84" t="n">
        <x:v>3</x:v>
      </x:c>
      <x:c r="G108" s="84" t="n">
        <x:v>3</x:v>
      </x:c>
      <x:c r="H108" s="41" t="str">
        <x:v>Trace Active Path</x:v>
      </x:c>
      <x:c r="I108" s="41" t="str">
        <x:v>Search</x:v>
      </x:c>
      <x:c r="J108" s="84" t="n">
        <x:v>241</x:v>
      </x:c>
      <x:c r="K108" s="84" t="str">
        <x:v>pressure</x:v>
      </x:c>
      <x:c r="L108" s="84" t="n">
        <x:v>113</x:v>
      </x:c>
      <x:c r="M108" s="41" t="str">
        <x:v>Pressure Advance 1</x:v>
      </x:c>
      <x:c r="N108" s="41" t="str">
        <x:v>Path 1 &gt; 2 &gt; 3 &gt; 107 &gt; 109 &gt; 110 &gt; 113</x:v>
      </x:c>
      <x:c r="O108" s="41" t="str">
        <x:v>Report Root &gt; Continuous Tactical Decisions &gt; Reactive Tactical Priority &gt; 7 Mid-Range Pressure &gt; Pressure Pattern &gt; Pressure Pattern 1 &gt; Pressure Advance 1</x:v>
      </x:c>
    </x:row>
    <x:row r="109">
      <x:c r="A109" s="41" t="str">
        <x:v>T106</x:v>
      </x:c>
      <x:c r="B109" s="41" t="str">
        <x:v>P06</x:v>
      </x:c>
      <x:c r="C109" s="41" t="str">
        <x:v>M6</x:v>
      </x:c>
      <x:c r="D109" s="41" t="str">
        <x:v>T3</x:v>
      </x:c>
      <x:c r="E109" s="84" t="n">
        <x:v>6</x:v>
      </x:c>
      <x:c r="F109" s="84" t="n">
        <x:v>3</x:v>
      </x:c>
      <x:c r="G109" s="84" t="n">
        <x:v>4</x:v>
      </x:c>
      <x:c r="H109" s="41" t="str">
        <x:v>Trace Active Path</x:v>
      </x:c>
      <x:c r="I109" s="41" t="str">
        <x:v>Compact</x:v>
      </x:c>
      <x:c r="J109" s="84" t="n">
        <x:v>241</x:v>
      </x:c>
      <x:c r="K109" s="84" t="str">
        <x:v>obstacle</x:v>
      </x:c>
      <x:c r="L109" s="84" t="n">
        <x:v>83</x:v>
      </x:c>
      <x:c r="M109" s="41" t="str">
        <x:v>Jump Obstacle 1</x:v>
      </x:c>
      <x:c r="N109" s="41" t="str">
        <x:v>Path 1 &gt; 2 &gt; 3 &gt; 79 &gt; 81 &gt; 82 &gt; 83</x:v>
      </x:c>
      <x:c r="O109" s="41" t="str">
        <x:v>Report Root &gt; Continuous Tactical Decisions &gt; Reactive Tactical Priority &gt; 4 Obstacle Traversal &gt; Obstacle Solution &gt; Vault Route 1 &gt; Jump Obstacle 1</x:v>
      </x:c>
    </x:row>
    <x:row r="110">
      <x:c r="A110" s="41" t="str">
        <x:v>T107</x:v>
      </x:c>
      <x:c r="B110" s="41" t="str">
        <x:v>P06</x:v>
      </x:c>
      <x:c r="C110" s="41" t="str">
        <x:v>M6</x:v>
      </x:c>
      <x:c r="D110" s="41" t="str">
        <x:v>T3</x:v>
      </x:c>
      <x:c r="E110" s="84" t="n">
        <x:v>6</x:v>
      </x:c>
      <x:c r="F110" s="84" t="n">
        <x:v>3</x:v>
      </x:c>
      <x:c r="G110" s="84" t="n">
        <x:v>5</x:v>
      </x:c>
      <x:c r="H110" s="41" t="str">
        <x:v>Trace Active Path</x:v>
      </x:c>
      <x:c r="I110" s="41" t="str">
        <x:v>Fisheye</x:v>
      </x:c>
      <x:c r="J110" s="84" t="n">
        <x:v>241</x:v>
      </x:c>
      <x:c r="K110" s="84" t="str">
        <x:v>ranged</x:v>
      </x:c>
      <x:c r="L110" s="84" t="n">
        <x:v>101</x:v>
      </x:c>
      <x:c r="M110" s="41" t="str">
        <x:v>Fire Projectile 1</x:v>
      </x:c>
      <x:c r="N110" s="41" t="str">
        <x:v>Path 1 &gt; 2 &gt; 3 &gt; 95 &gt; 97 &gt; 98 &gt; 101</x:v>
      </x:c>
      <x:c r="O110" s="41" t="str">
        <x:v>Report Root &gt; Continuous Tactical Decisions &gt; Reactive Tactical Priority &gt; 6 Ranged Suppression &gt; Ranged Firing Pattern &gt; Ranged Pattern 1 &gt; Fire Projectile 1</x:v>
      </x:c>
    </x:row>
    <x:row r="111">
      <x:c r="A111" s="41" t="str">
        <x:v>T108</x:v>
      </x:c>
      <x:c r="B111" s="41" t="str">
        <x:v>P06</x:v>
      </x:c>
      <x:c r="C111" s="41" t="str">
        <x:v>M6</x:v>
      </x:c>
      <x:c r="D111" s="41" t="str">
        <x:v>T3</x:v>
      </x:c>
      <x:c r="E111" s="84" t="n">
        <x:v>6</x:v>
      </x:c>
      <x:c r="F111" s="84" t="n">
        <x:v>3</x:v>
      </x:c>
      <x:c r="G111" s="84" t="n">
        <x:v>6</x:v>
      </x:c>
      <x:c r="H111" s="41" t="str">
        <x:v>Trace Active Path</x:v>
      </x:c>
      <x:c r="I111" s="41" t="str">
        <x:v>Collapse</x:v>
      </x:c>
      <x:c r="J111" s="84" t="n">
        <x:v>241</x:v>
      </x:c>
      <x:c r="K111" s="84" t="str">
        <x:v>vertical</x:v>
      </x:c>
      <x:c r="L111" s="84" t="n">
        <x:v>91</x:v>
      </x:c>
      <x:c r="M111" s="41" t="str">
        <x:v>Climb Ladder 1</x:v>
      </x:c>
      <x:c r="N111" s="41" t="str">
        <x:v>Path 1 &gt; 2 &gt; 3 &gt; 87 &gt; 89 &gt; 90 &gt; 91</x:v>
      </x:c>
      <x:c r="O111" s="41" t="str">
        <x:v>Report Root &gt; Continuous Tactical Decisions &gt; Reactive Tactical Priority &gt; 5 Vertical Pursuit &gt; Climb Approach &gt; Climb Route 1 &gt; Climb Ladder 1</x:v>
      </x:c>
    </x:row>
    <x:row r="112">
      <x:c r="A112" s="41" t="str">
        <x:v>T109</x:v>
      </x:c>
      <x:c r="B112" s="41" t="str">
        <x:v>P07</x:v>
      </x:c>
      <x:c r="C112" s="41" t="str">
        <x:v>M1</x:v>
      </x:c>
      <x:c r="D112" s="41" t="str">
        <x:v>T1</x:v>
      </x:c>
      <x:c r="E112" s="84" t="n">
        <x:v>1</x:v>
      </x:c>
      <x:c r="F112" s="84" t="n">
        <x:v>1</x:v>
      </x:c>
      <x:c r="G112" s="84" t="n">
        <x:v>1</x:v>
      </x:c>
      <x:c r="H112" s="41" t="str">
        <x:v>Locate Action</x:v>
      </x:c>
      <x:c r="I112" s="41" t="str">
        <x:v>Baseline</x:v>
      </x:c>
      <x:c r="J112" s="84" t="n">
        <x:v>241</x:v>
      </x:c>
      <x:c r="K112" s="84" t="str">
        <x:v>obstacle</x:v>
      </x:c>
      <x:c r="L112" s="84" t="n">
        <x:v>83</x:v>
      </x:c>
      <x:c r="M112" s="41" t="str">
        <x:v>Jump Obstacle 1</x:v>
      </x:c>
      <x:c r="N112" s="41" t="str">
        <x:v>Path 1 &gt; 2 &gt; 3 &gt; 79 &gt; 81 &gt; 82 &gt; 83</x:v>
      </x:c>
      <x:c r="O112" s="41" t="str">
        <x:v>Select #83 Jump Obstacle 1</x:v>
      </x:c>
    </x:row>
    <x:row r="113">
      <x:c r="A113" s="41" t="str">
        <x:v>T110</x:v>
      </x:c>
      <x:c r="B113" s="41" t="str">
        <x:v>P07</x:v>
      </x:c>
      <x:c r="C113" s="41" t="str">
        <x:v>M1</x:v>
      </x:c>
      <x:c r="D113" s="41" t="str">
        <x:v>T1</x:v>
      </x:c>
      <x:c r="E113" s="84" t="n">
        <x:v>1</x:v>
      </x:c>
      <x:c r="F113" s="84" t="n">
        <x:v>1</x:v>
      </x:c>
      <x:c r="G113" s="84" t="n">
        <x:v>2</x:v>
      </x:c>
      <x:c r="H113" s="41" t="str">
        <x:v>Locate Action</x:v>
      </x:c>
      <x:c r="I113" s="41" t="str">
        <x:v>Compact</x:v>
      </x:c>
      <x:c r="J113" s="84" t="n">
        <x:v>241</x:v>
      </x:c>
      <x:c r="K113" s="84" t="str">
        <x:v>vertical</x:v>
      </x:c>
      <x:c r="L113" s="84" t="n">
        <x:v>91</x:v>
      </x:c>
      <x:c r="M113" s="41" t="str">
        <x:v>Climb Ladder 1</x:v>
      </x:c>
      <x:c r="N113" s="41" t="str">
        <x:v>Path 1 &gt; 2 &gt; 3 &gt; 87 &gt; 89 &gt; 90 &gt; 91</x:v>
      </x:c>
      <x:c r="O113" s="41" t="str">
        <x:v>Select #91 Climb Ladder 1</x:v>
      </x:c>
    </x:row>
    <x:row r="114">
      <x:c r="A114" s="41" t="str">
        <x:v>T111</x:v>
      </x:c>
      <x:c r="B114" s="41" t="str">
        <x:v>P07</x:v>
      </x:c>
      <x:c r="C114" s="41" t="str">
        <x:v>M1</x:v>
      </x:c>
      <x:c r="D114" s="41" t="str">
        <x:v>T1</x:v>
      </x:c>
      <x:c r="E114" s="84" t="n">
        <x:v>1</x:v>
      </x:c>
      <x:c r="F114" s="84" t="n">
        <x:v>1</x:v>
      </x:c>
      <x:c r="G114" s="84" t="n">
        <x:v>3</x:v>
      </x:c>
      <x:c r="H114" s="41" t="str">
        <x:v>Locate Action</x:v>
      </x:c>
      <x:c r="I114" s="41" t="str">
        <x:v>Minimap</x:v>
      </x:c>
      <x:c r="J114" s="84" t="n">
        <x:v>241</x:v>
      </x:c>
      <x:c r="K114" s="84" t="str">
        <x:v>patrol</x:v>
      </x:c>
      <x:c r="L114" s="84" t="n">
        <x:v>201</x:v>
      </x:c>
      <x:c r="M114" s="41" t="str">
        <x:v>Observe Patrol Point 1</x:v>
      </x:c>
      <x:c r="N114" s="41" t="str">
        <x:v>Path 1 &gt; 2 &gt; 3 &gt; 193 &gt; 196 &gt; 197 &gt; 201</x:v>
      </x:c>
      <x:c r="O114" s="41" t="str">
        <x:v>Select #201 Observe Patrol Point 1</x:v>
      </x:c>
    </x:row>
    <x:row r="115">
      <x:c r="A115" s="41" t="str">
        <x:v>T112</x:v>
      </x:c>
      <x:c r="B115" s="41" t="str">
        <x:v>P07</x:v>
      </x:c>
      <x:c r="C115" s="41" t="str">
        <x:v>M1</x:v>
      </x:c>
      <x:c r="D115" s="41" t="str">
        <x:v>T1</x:v>
      </x:c>
      <x:c r="E115" s="84" t="n">
        <x:v>1</x:v>
      </x:c>
      <x:c r="F115" s="84" t="n">
        <x:v>1</x:v>
      </x:c>
      <x:c r="G115" s="84" t="n">
        <x:v>4</x:v>
      </x:c>
      <x:c r="H115" s="41" t="str">
        <x:v>Locate Action</x:v>
      </x:c>
      <x:c r="I115" s="41" t="str">
        <x:v>Collapse</x:v>
      </x:c>
      <x:c r="J115" s="84" t="n">
        <x:v>241</x:v>
      </x:c>
      <x:c r="K115" s="84" t="str">
        <x:v>ranged</x:v>
      </x:c>
      <x:c r="L115" s="84" t="n">
        <x:v>101</x:v>
      </x:c>
      <x:c r="M115" s="41" t="str">
        <x:v>Fire Projectile 1</x:v>
      </x:c>
      <x:c r="N115" s="41" t="str">
        <x:v>Path 1 &gt; 2 &gt; 3 &gt; 95 &gt; 97 &gt; 98 &gt; 101</x:v>
      </x:c>
      <x:c r="O115" s="41" t="str">
        <x:v>Select #101 Fire Projectile 1</x:v>
      </x:c>
    </x:row>
    <x:row r="116">
      <x:c r="A116" s="41" t="str">
        <x:v>T113</x:v>
      </x:c>
      <x:c r="B116" s="41" t="str">
        <x:v>P07</x:v>
      </x:c>
      <x:c r="C116" s="41" t="str">
        <x:v>M1</x:v>
      </x:c>
      <x:c r="D116" s="41" t="str">
        <x:v>T1</x:v>
      </x:c>
      <x:c r="E116" s="84" t="n">
        <x:v>1</x:v>
      </x:c>
      <x:c r="F116" s="84" t="n">
        <x:v>1</x:v>
      </x:c>
      <x:c r="G116" s="84" t="n">
        <x:v>5</x:v>
      </x:c>
      <x:c r="H116" s="41" t="str">
        <x:v>Locate Action</x:v>
      </x:c>
      <x:c r="I116" s="41" t="str">
        <x:v>Search</x:v>
      </x:c>
      <x:c r="J116" s="84" t="n">
        <x:v>241</x:v>
      </x:c>
      <x:c r="K116" s="84" t="str">
        <x:v>search</x:v>
      </x:c>
      <x:c r="L116" s="84" t="n">
        <x:v>156</x:v>
      </x:c>
      <x:c r="M116" s="41" t="str">
        <x:v>Search Movement 1</x:v>
      </x:c>
      <x:c r="N116" s="41" t="str">
        <x:v>Path 1 &gt; 2 &gt; 3 &gt; 152 &gt; 154 &gt; 155 &gt; 156</x:v>
      </x:c>
      <x:c r="O116" s="41" t="str">
        <x:v>Select #156 Search Movement 1</x:v>
      </x:c>
    </x:row>
    <x:row r="117">
      <x:c r="A117" s="41" t="str">
        <x:v>T114</x:v>
      </x:c>
      <x:c r="B117" s="41" t="str">
        <x:v>P07</x:v>
      </x:c>
      <x:c r="C117" s="41" t="str">
        <x:v>M1</x:v>
      </x:c>
      <x:c r="D117" s="41" t="str">
        <x:v>T1</x:v>
      </x:c>
      <x:c r="E117" s="84" t="n">
        <x:v>1</x:v>
      </x:c>
      <x:c r="F117" s="84" t="n">
        <x:v>1</x:v>
      </x:c>
      <x:c r="G117" s="84" t="n">
        <x:v>6</x:v>
      </x:c>
      <x:c r="H117" s="41" t="str">
        <x:v>Locate Action</x:v>
      </x:c>
      <x:c r="I117" s="41" t="str">
        <x:v>Fisheye</x:v>
      </x:c>
      <x:c r="J117" s="84" t="n">
        <x:v>241</x:v>
      </x:c>
      <x:c r="K117" s="84" t="str">
        <x:v>pressure</x:v>
      </x:c>
      <x:c r="L117" s="84" t="n">
        <x:v>113</x:v>
      </x:c>
      <x:c r="M117" s="41" t="str">
        <x:v>Pressure Advance 1</x:v>
      </x:c>
      <x:c r="N117" s="41" t="str">
        <x:v>Path 1 &gt; 2 &gt; 3 &gt; 107 &gt; 109 &gt; 110 &gt; 113</x:v>
      </x:c>
      <x:c r="O117" s="41" t="str">
        <x:v>Select #113 Pressure Advance 1</x:v>
      </x:c>
    </x:row>
    <x:row r="118">
      <x:c r="A118" s="41" t="str">
        <x:v>T115</x:v>
      </x:c>
      <x:c r="B118" s="41" t="str">
        <x:v>P07</x:v>
      </x:c>
      <x:c r="C118" s="41" t="str">
        <x:v>M1</x:v>
      </x:c>
      <x:c r="D118" s="41" t="str">
        <x:v>T1</x:v>
      </x:c>
      <x:c r="E118" s="84" t="n">
        <x:v>1</x:v>
      </x:c>
      <x:c r="F118" s="84" t="n">
        <x:v>2</x:v>
      </x:c>
      <x:c r="G118" s="84" t="n">
        <x:v>1</x:v>
      </x:c>
      <x:c r="H118" s="41" t="str">
        <x:v>Trace Active Path</x:v>
      </x:c>
      <x:c r="I118" s="41" t="str">
        <x:v>Baseline</x:v>
      </x:c>
      <x:c r="J118" s="84" t="n">
        <x:v>241</x:v>
      </x:c>
      <x:c r="K118" s="84" t="str">
        <x:v>obstacle</x:v>
      </x:c>
      <x:c r="L118" s="84" t="n">
        <x:v>83</x:v>
      </x:c>
      <x:c r="M118" s="41" t="str">
        <x:v>Jump Obstacle 1</x:v>
      </x:c>
      <x:c r="N118" s="41" t="str">
        <x:v>Path 1 &gt; 2 &gt; 3 &gt; 79 &gt; 81 &gt; 82 &gt; 83</x:v>
      </x:c>
      <x:c r="O118" s="41" t="str">
        <x:v>Report Root &gt; Continuous Tactical Decisions &gt; Reactive Tactical Priority &gt; 4 Obstacle Traversal &gt; Obstacle Solution &gt; Vault Route 1 &gt; Jump Obstacle 1</x:v>
      </x:c>
    </x:row>
    <x:row r="119">
      <x:c r="A119" s="41" t="str">
        <x:v>T116</x:v>
      </x:c>
      <x:c r="B119" s="41" t="str">
        <x:v>P07</x:v>
      </x:c>
      <x:c r="C119" s="41" t="str">
        <x:v>M1</x:v>
      </x:c>
      <x:c r="D119" s="41" t="str">
        <x:v>T1</x:v>
      </x:c>
      <x:c r="E119" s="84" t="n">
        <x:v>1</x:v>
      </x:c>
      <x:c r="F119" s="84" t="n">
        <x:v>2</x:v>
      </x:c>
      <x:c r="G119" s="84" t="n">
        <x:v>2</x:v>
      </x:c>
      <x:c r="H119" s="41" t="str">
        <x:v>Trace Active Path</x:v>
      </x:c>
      <x:c r="I119" s="41" t="str">
        <x:v>Compact</x:v>
      </x:c>
      <x:c r="J119" s="84" t="n">
        <x:v>241</x:v>
      </x:c>
      <x:c r="K119" s="84" t="str">
        <x:v>vertical</x:v>
      </x:c>
      <x:c r="L119" s="84" t="n">
        <x:v>91</x:v>
      </x:c>
      <x:c r="M119" s="41" t="str">
        <x:v>Climb Ladder 1</x:v>
      </x:c>
      <x:c r="N119" s="41" t="str">
        <x:v>Path 1 &gt; 2 &gt; 3 &gt; 87 &gt; 89 &gt; 90 &gt; 91</x:v>
      </x:c>
      <x:c r="O119" s="41" t="str">
        <x:v>Report Root &gt; Continuous Tactical Decisions &gt; Reactive Tactical Priority &gt; 5 Vertical Pursuit &gt; Climb Approach &gt; Climb Route 1 &gt; Climb Ladder 1</x:v>
      </x:c>
    </x:row>
    <x:row r="120">
      <x:c r="A120" s="41" t="str">
        <x:v>T117</x:v>
      </x:c>
      <x:c r="B120" s="41" t="str">
        <x:v>P07</x:v>
      </x:c>
      <x:c r="C120" s="41" t="str">
        <x:v>M1</x:v>
      </x:c>
      <x:c r="D120" s="41" t="str">
        <x:v>T1</x:v>
      </x:c>
      <x:c r="E120" s="84" t="n">
        <x:v>1</x:v>
      </x:c>
      <x:c r="F120" s="84" t="n">
        <x:v>2</x:v>
      </x:c>
      <x:c r="G120" s="84" t="n">
        <x:v>3</x:v>
      </x:c>
      <x:c r="H120" s="41" t="str">
        <x:v>Trace Active Path</x:v>
      </x:c>
      <x:c r="I120" s="41" t="str">
        <x:v>Minimap</x:v>
      </x:c>
      <x:c r="J120" s="84" t="n">
        <x:v>241</x:v>
      </x:c>
      <x:c r="K120" s="84" t="str">
        <x:v>patrol</x:v>
      </x:c>
      <x:c r="L120" s="84" t="n">
        <x:v>201</x:v>
      </x:c>
      <x:c r="M120" s="41" t="str">
        <x:v>Observe Patrol Point 1</x:v>
      </x:c>
      <x:c r="N120" s="41" t="str">
        <x:v>Path 1 &gt; 2 &gt; 3 &gt; 193 &gt; 196 &gt; 197 &gt; 201</x:v>
      </x:c>
      <x:c r="O120" s="41" t="str">
        <x:v>Report Root &gt; Continuous Tactical Decisions &gt; Reactive Tactical Priority &gt; 11 Layered Patrol &gt; Patrol Route Choice &gt; Patrol Route 1 &gt; Observe Patrol Point 1</x:v>
      </x:c>
    </x:row>
    <x:row r="121">
      <x:c r="A121" s="41" t="str">
        <x:v>T118</x:v>
      </x:c>
      <x:c r="B121" s="41" t="str">
        <x:v>P07</x:v>
      </x:c>
      <x:c r="C121" s="41" t="str">
        <x:v>M1</x:v>
      </x:c>
      <x:c r="D121" s="41" t="str">
        <x:v>T1</x:v>
      </x:c>
      <x:c r="E121" s="84" t="n">
        <x:v>1</x:v>
      </x:c>
      <x:c r="F121" s="84" t="n">
        <x:v>2</x:v>
      </x:c>
      <x:c r="G121" s="84" t="n">
        <x:v>4</x:v>
      </x:c>
      <x:c r="H121" s="41" t="str">
        <x:v>Trace Active Path</x:v>
      </x:c>
      <x:c r="I121" s="41" t="str">
        <x:v>Collapse</x:v>
      </x:c>
      <x:c r="J121" s="84" t="n">
        <x:v>241</x:v>
      </x:c>
      <x:c r="K121" s="84" t="str">
        <x:v>ranged</x:v>
      </x:c>
      <x:c r="L121" s="84" t="n">
        <x:v>101</x:v>
      </x:c>
      <x:c r="M121" s="41" t="str">
        <x:v>Fire Projectile 1</x:v>
      </x:c>
      <x:c r="N121" s="41" t="str">
        <x:v>Path 1 &gt; 2 &gt; 3 &gt; 95 &gt; 97 &gt; 98 &gt; 101</x:v>
      </x:c>
      <x:c r="O121" s="41" t="str">
        <x:v>Report Root &gt; Continuous Tactical Decisions &gt; Reactive Tactical Priority &gt; 6 Ranged Suppression &gt; Ranged Firing Pattern &gt; Ranged Pattern 1 &gt; Fire Projectile 1</x:v>
      </x:c>
    </x:row>
    <x:row r="122">
      <x:c r="A122" s="41" t="str">
        <x:v>T119</x:v>
      </x:c>
      <x:c r="B122" s="41" t="str">
        <x:v>P07</x:v>
      </x:c>
      <x:c r="C122" s="41" t="str">
        <x:v>M1</x:v>
      </x:c>
      <x:c r="D122" s="41" t="str">
        <x:v>T1</x:v>
      </x:c>
      <x:c r="E122" s="84" t="n">
        <x:v>1</x:v>
      </x:c>
      <x:c r="F122" s="84" t="n">
        <x:v>2</x:v>
      </x:c>
      <x:c r="G122" s="84" t="n">
        <x:v>5</x:v>
      </x:c>
      <x:c r="H122" s="41" t="str">
        <x:v>Trace Active Path</x:v>
      </x:c>
      <x:c r="I122" s="41" t="str">
        <x:v>Search</x:v>
      </x:c>
      <x:c r="J122" s="84" t="n">
        <x:v>241</x:v>
      </x:c>
      <x:c r="K122" s="84" t="str">
        <x:v>search</x:v>
      </x:c>
      <x:c r="L122" s="84" t="n">
        <x:v>156</x:v>
      </x:c>
      <x:c r="M122" s="41" t="str">
        <x:v>Search Movement 1</x:v>
      </x:c>
      <x:c r="N122" s="41" t="str">
        <x:v>Path 1 &gt; 2 &gt; 3 &gt; 152 &gt; 154 &gt; 155 &gt; 156</x:v>
      </x:c>
      <x:c r="O122" s="41" t="str">
        <x:v>Report Root &gt; Continuous Tactical Decisions &gt; Reactive Tactical Priority &gt; 9 Last-Known-Position Search &gt; Search Pattern &gt; Search Pattern 1 &gt; Search Movement 1</x:v>
      </x:c>
    </x:row>
    <x:row r="123">
      <x:c r="A123" s="41" t="str">
        <x:v>T120</x:v>
      </x:c>
      <x:c r="B123" s="41" t="str">
        <x:v>P07</x:v>
      </x:c>
      <x:c r="C123" s="41" t="str">
        <x:v>M1</x:v>
      </x:c>
      <x:c r="D123" s="41" t="str">
        <x:v>T1</x:v>
      </x:c>
      <x:c r="E123" s="84" t="n">
        <x:v>1</x:v>
      </x:c>
      <x:c r="F123" s="84" t="n">
        <x:v>2</x:v>
      </x:c>
      <x:c r="G123" s="84" t="n">
        <x:v>6</x:v>
      </x:c>
      <x:c r="H123" s="41" t="str">
        <x:v>Trace Active Path</x:v>
      </x:c>
      <x:c r="I123" s="41" t="str">
        <x:v>Fisheye</x:v>
      </x:c>
      <x:c r="J123" s="84" t="n">
        <x:v>241</x:v>
      </x:c>
      <x:c r="K123" s="84" t="str">
        <x:v>pressure</x:v>
      </x:c>
      <x:c r="L123" s="84" t="n">
        <x:v>113</x:v>
      </x:c>
      <x:c r="M123" s="41" t="str">
        <x:v>Pressure Advance 1</x:v>
      </x:c>
      <x:c r="N123" s="41" t="str">
        <x:v>Path 1 &gt; 2 &gt; 3 &gt; 107 &gt; 109 &gt; 110 &gt; 113</x:v>
      </x:c>
      <x:c r="O123" s="41" t="str">
        <x:v>Report Root &gt; Continuous Tactical Decisions &gt; Reactive Tactical Priority &gt; 7 Mid-Range Pressure &gt; Pressure Pattern &gt; Pressure Pattern 1 &gt; Pressure Advance 1</x:v>
      </x:c>
    </x:row>
    <x:row r="124">
      <x:c r="A124" s="41" t="str">
        <x:v>T121</x:v>
      </x:c>
      <x:c r="B124" s="41" t="str">
        <x:v>P07</x:v>
      </x:c>
      <x:c r="C124" s="41" t="str">
        <x:v>M1</x:v>
      </x:c>
      <x:c r="D124" s="41" t="str">
        <x:v>T1</x:v>
      </x:c>
      <x:c r="E124" s="84" t="n">
        <x:v>1</x:v>
      </x:c>
      <x:c r="F124" s="84" t="n">
        <x:v>3</x:v>
      </x:c>
      <x:c r="G124" s="84" t="n">
        <x:v>1</x:v>
      </x:c>
      <x:c r="H124" s="41" t="str">
        <x:v>Edit Decorator</x:v>
      </x:c>
      <x:c r="I124" s="41" t="str">
        <x:v>Baseline</x:v>
      </x:c>
      <x:c r="J124" s="84" t="n">
        <x:v>241</x:v>
      </x:c>
      <x:c r="K124" s="84" t="str">
        <x:v>defense</x:v>
      </x:c>
      <x:c r="L124" s="84" t="n">
        <x:v>31</x:v>
      </x:c>
      <x:c r="M124" s="41" t="str">
        <x:v>Defense Cooldown 1</x:v>
      </x:c>
      <x:c r="N124" s="41" t="str">
        <x:v>Owner #29 Dodge Left; cooldown; 0.45 -&gt; 0.55</x:v>
      </x:c>
      <x:c r="O124" s="41" t="str">
        <x:v>Set Decorator #31 Duration to 0.55; no other change</x:v>
      </x:c>
    </x:row>
    <x:row r="125">
      <x:c r="A125" s="41" t="str">
        <x:v>T122</x:v>
      </x:c>
      <x:c r="B125" s="41" t="str">
        <x:v>P07</x:v>
      </x:c>
      <x:c r="C125" s="41" t="str">
        <x:v>M1</x:v>
      </x:c>
      <x:c r="D125" s="41" t="str">
        <x:v>T1</x:v>
      </x:c>
      <x:c r="E125" s="84" t="n">
        <x:v>1</x:v>
      </x:c>
      <x:c r="F125" s="84" t="n">
        <x:v>3</x:v>
      </x:c>
      <x:c r="G125" s="84" t="n">
        <x:v>2</x:v>
      </x:c>
      <x:c r="H125" s="41" t="str">
        <x:v>Edit Decorator</x:v>
      </x:c>
      <x:c r="I125" s="41" t="str">
        <x:v>Compact</x:v>
      </x:c>
      <x:c r="J125" s="84" t="n">
        <x:v>241</x:v>
      </x:c>
      <x:c r="K125" s="84" t="str">
        <x:v>pressure</x:v>
      </x:c>
      <x:c r="L125" s="84" t="n">
        <x:v>114</x:v>
      </x:c>
      <x:c r="M125" s="41" t="str">
        <x:v>Pressure Cooldown 1</x:v>
      </x:c>
      <x:c r="N125" s="41" t="str">
        <x:v>Owner #111 Pressure Reposition 1; cooldown; 0.35 -&gt; 0.45</x:v>
      </x:c>
      <x:c r="O125" s="41" t="str">
        <x:v>Set Decorator #114 Duration to 0.45; no other change</x:v>
      </x:c>
    </x:row>
    <x:row r="126">
      <x:c r="A126" s="41" t="str">
        <x:v>T123</x:v>
      </x:c>
      <x:c r="B126" s="41" t="str">
        <x:v>P07</x:v>
      </x:c>
      <x:c r="C126" s="41" t="str">
        <x:v>M1</x:v>
      </x:c>
      <x:c r="D126" s="41" t="str">
        <x:v>T1</x:v>
      </x:c>
      <x:c r="E126" s="84" t="n">
        <x:v>1</x:v>
      </x:c>
      <x:c r="F126" s="84" t="n">
        <x:v>3</x:v>
      </x:c>
      <x:c r="G126" s="84" t="n">
        <x:v>3</x:v>
      </x:c>
      <x:c r="H126" s="41" t="str">
        <x:v>Edit Decorator</x:v>
      </x:c>
      <x:c r="I126" s="41" t="str">
        <x:v>Minimap</x:v>
      </x:c>
      <x:c r="J126" s="84" t="n">
        <x:v>241</x:v>
      </x:c>
      <x:c r="K126" s="84" t="str">
        <x:v>patrol</x:v>
      </x:c>
      <x:c r="L126" s="84" t="n">
        <x:v>202</x:v>
      </x:c>
      <x:c r="M126" s="41" t="str">
        <x:v>Patrol Leg Limit 1</x:v>
      </x:c>
      <x:c r="N126" s="41" t="str">
        <x:v>Owner #199 Patrol Movement 1; time_limit; 1.5 -&gt; 1.6</x:v>
      </x:c>
      <x:c r="O126" s="41" t="str">
        <x:v>Set Decorator #202 Duration to 1.6; no other change</x:v>
      </x:c>
    </x:row>
    <x:row r="127">
      <x:c r="A127" s="41" t="str">
        <x:v>T124</x:v>
      </x:c>
      <x:c r="B127" s="41" t="str">
        <x:v>P07</x:v>
      </x:c>
      <x:c r="C127" s="41" t="str">
        <x:v>M1</x:v>
      </x:c>
      <x:c r="D127" s="41" t="str">
        <x:v>T1</x:v>
      </x:c>
      <x:c r="E127" s="84" t="n">
        <x:v>1</x:v>
      </x:c>
      <x:c r="F127" s="84" t="n">
        <x:v>3</x:v>
      </x:c>
      <x:c r="G127" s="84" t="n">
        <x:v>4</x:v>
      </x:c>
      <x:c r="H127" s="41" t="str">
        <x:v>Edit Decorator</x:v>
      </x:c>
      <x:c r="I127" s="41" t="str">
        <x:v>Collapse</x:v>
      </x:c>
      <x:c r="J127" s="84" t="n">
        <x:v>241</x:v>
      </x:c>
      <x:c r="K127" s="84" t="str">
        <x:v>chase</x:v>
      </x:c>
      <x:c r="L127" s="84" t="n">
        <x:v>133</x:v>
      </x:c>
      <x:c r="M127" s="41" t="str">
        <x:v>Chase Step Limit 1</x:v>
      </x:c>
      <x:c r="N127" s="41" t="str">
        <x:v>Owner #130 Chase Movement 1; time_limit; 0.8 -&gt; 0.9</x:v>
      </x:c>
      <x:c r="O127" s="41" t="str">
        <x:v>Set Decorator #133 Duration to 0.9; no other change</x:v>
      </x:c>
    </x:row>
    <x:row r="128">
      <x:c r="A128" s="41" t="str">
        <x:v>T125</x:v>
      </x:c>
      <x:c r="B128" s="41" t="str">
        <x:v>P07</x:v>
      </x:c>
      <x:c r="C128" s="41" t="str">
        <x:v>M1</x:v>
      </x:c>
      <x:c r="D128" s="41" t="str">
        <x:v>T1</x:v>
      </x:c>
      <x:c r="E128" s="84" t="n">
        <x:v>1</x:v>
      </x:c>
      <x:c r="F128" s="84" t="n">
        <x:v>3</x:v>
      </x:c>
      <x:c r="G128" s="84" t="n">
        <x:v>5</x:v>
      </x:c>
      <x:c r="H128" s="41" t="str">
        <x:v>Edit Decorator</x:v>
      </x:c>
      <x:c r="I128" s="41" t="str">
        <x:v>Search</x:v>
      </x:c>
      <x:c r="J128" s="84" t="n">
        <x:v>241</x:v>
      </x:c>
      <x:c r="K128" s="84" t="str">
        <x:v>return</x:v>
      </x:c>
      <x:c r="L128" s="84" t="n">
        <x:v>182</x:v>
      </x:c>
      <x:c r="M128" s="41" t="str">
        <x:v>Return Step Limit 1</x:v>
      </x:c>
      <x:c r="N128" s="41" t="str">
        <x:v>Owner #179 Return Movement 1; time_limit; 0.9 -&gt; 1</x:v>
      </x:c>
      <x:c r="O128" s="41" t="str">
        <x:v>Set Decorator #182 Duration to 1; no other change</x:v>
      </x:c>
    </x:row>
    <x:row r="129">
      <x:c r="A129" s="41" t="str">
        <x:v>T126</x:v>
      </x:c>
      <x:c r="B129" s="41" t="str">
        <x:v>P07</x:v>
      </x:c>
      <x:c r="C129" s="41" t="str">
        <x:v>M1</x:v>
      </x:c>
      <x:c r="D129" s="41" t="str">
        <x:v>T1</x:v>
      </x:c>
      <x:c r="E129" s="84" t="n">
        <x:v>1</x:v>
      </x:c>
      <x:c r="F129" s="84" t="n">
        <x:v>3</x:v>
      </x:c>
      <x:c r="G129" s="84" t="n">
        <x:v>6</x:v>
      </x:c>
      <x:c r="H129" s="41" t="str">
        <x:v>Edit Decorator</x:v>
      </x:c>
      <x:c r="I129" s="41" t="str">
        <x:v>Fisheye</x:v>
      </x:c>
      <x:c r="J129" s="84" t="n">
        <x:v>241</x:v>
      </x:c>
      <x:c r="K129" s="84" t="str">
        <x:v>search</x:v>
      </x:c>
      <x:c r="L129" s="84" t="n">
        <x:v>159</x:v>
      </x:c>
      <x:c r="M129" s="41" t="str">
        <x:v>Search Leg Limit 1</x:v>
      </x:c>
      <x:c r="N129" s="41" t="str">
        <x:v>Owner #156 Search Movement 1; time_limit; 1.25 -&gt; 1.35</x:v>
      </x:c>
      <x:c r="O129" s="41" t="str">
        <x:v>Set Decorator #159 Duration to 1.35; no other change</x:v>
      </x:c>
    </x:row>
    <x:row r="130">
      <x:c r="A130" s="41" t="str">
        <x:v>T127</x:v>
      </x:c>
      <x:c r="B130" s="41" t="str">
        <x:v>P08</x:v>
      </x:c>
      <x:c r="C130" s="41" t="str">
        <x:v>M2</x:v>
      </x:c>
      <x:c r="D130" s="41" t="str">
        <x:v>T2</x:v>
      </x:c>
      <x:c r="E130" s="84" t="n">
        <x:v>2</x:v>
      </x:c>
      <x:c r="F130" s="84" t="n">
        <x:v>1</x:v>
      </x:c>
      <x:c r="G130" s="84" t="n">
        <x:v>1</x:v>
      </x:c>
      <x:c r="H130" s="41" t="str">
        <x:v>Trace Active Path</x:v>
      </x:c>
      <x:c r="I130" s="41" t="str">
        <x:v>Compact</x:v>
      </x:c>
      <x:c r="J130" s="84" t="n">
        <x:v>241</x:v>
      </x:c>
      <x:c r="K130" s="84" t="str">
        <x:v>ranged</x:v>
      </x:c>
      <x:c r="L130" s="84" t="n">
        <x:v>101</x:v>
      </x:c>
      <x:c r="M130" s="41" t="str">
        <x:v>Fire Projectile 1</x:v>
      </x:c>
      <x:c r="N130" s="41" t="str">
        <x:v>Path 1 &gt; 2 &gt; 3 &gt; 95 &gt; 97 &gt; 98 &gt; 101</x:v>
      </x:c>
      <x:c r="O130" s="41" t="str">
        <x:v>Report Root &gt; Continuous Tactical Decisions &gt; Reactive Tactical Priority &gt; 6 Ranged Suppression &gt; Ranged Firing Pattern &gt; Ranged Pattern 1 &gt; Fire Projectile 1</x:v>
      </x:c>
    </x:row>
    <x:row r="131">
      <x:c r="A131" s="41" t="str">
        <x:v>T128</x:v>
      </x:c>
      <x:c r="B131" s="41" t="str">
        <x:v>P08</x:v>
      </x:c>
      <x:c r="C131" s="41" t="str">
        <x:v>M2</x:v>
      </x:c>
      <x:c r="D131" s="41" t="str">
        <x:v>T2</x:v>
      </x:c>
      <x:c r="E131" s="84" t="n">
        <x:v>2</x:v>
      </x:c>
      <x:c r="F131" s="84" t="n">
        <x:v>1</x:v>
      </x:c>
      <x:c r="G131" s="84" t="n">
        <x:v>2</x:v>
      </x:c>
      <x:c r="H131" s="41" t="str">
        <x:v>Trace Active Path</x:v>
      </x:c>
      <x:c r="I131" s="41" t="str">
        <x:v>Collapse</x:v>
      </x:c>
      <x:c r="J131" s="84" t="n">
        <x:v>241</x:v>
      </x:c>
      <x:c r="K131" s="84" t="str">
        <x:v>pressure</x:v>
      </x:c>
      <x:c r="L131" s="84" t="n">
        <x:v>113</x:v>
      </x:c>
      <x:c r="M131" s="41" t="str">
        <x:v>Pressure Advance 1</x:v>
      </x:c>
      <x:c r="N131" s="41" t="str">
        <x:v>Path 1 &gt; 2 &gt; 3 &gt; 107 &gt; 109 &gt; 110 &gt; 113</x:v>
      </x:c>
      <x:c r="O131" s="41" t="str">
        <x:v>Report Root &gt; Continuous Tactical Decisions &gt; Reactive Tactical Priority &gt; 7 Mid-Range Pressure &gt; Pressure Pattern &gt; Pressure Pattern 1 &gt; Pressure Advance 1</x:v>
      </x:c>
    </x:row>
    <x:row r="132">
      <x:c r="A132" s="41" t="str">
        <x:v>T129</x:v>
      </x:c>
      <x:c r="B132" s="41" t="str">
        <x:v>P08</x:v>
      </x:c>
      <x:c r="C132" s="41" t="str">
        <x:v>M2</x:v>
      </x:c>
      <x:c r="D132" s="41" t="str">
        <x:v>T2</x:v>
      </x:c>
      <x:c r="E132" s="84" t="n">
        <x:v>2</x:v>
      </x:c>
      <x:c r="F132" s="84" t="n">
        <x:v>1</x:v>
      </x:c>
      <x:c r="G132" s="84" t="n">
        <x:v>3</x:v>
      </x:c>
      <x:c r="H132" s="41" t="str">
        <x:v>Trace Active Path</x:v>
      </x:c>
      <x:c r="I132" s="41" t="str">
        <x:v>Baseline</x:v>
      </x:c>
      <x:c r="J132" s="84" t="n">
        <x:v>241</x:v>
      </x:c>
      <x:c r="K132" s="84" t="str">
        <x:v>vertical</x:v>
      </x:c>
      <x:c r="L132" s="84" t="n">
        <x:v>91</x:v>
      </x:c>
      <x:c r="M132" s="41" t="str">
        <x:v>Climb Ladder 1</x:v>
      </x:c>
      <x:c r="N132" s="41" t="str">
        <x:v>Path 1 &gt; 2 &gt; 3 &gt; 87 &gt; 89 &gt; 90 &gt; 91</x:v>
      </x:c>
      <x:c r="O132" s="41" t="str">
        <x:v>Report Root &gt; Continuous Tactical Decisions &gt; Reactive Tactical Priority &gt; 5 Vertical Pursuit &gt; Climb Approach &gt; Climb Route 1 &gt; Climb Ladder 1</x:v>
      </x:c>
    </x:row>
    <x:row r="133">
      <x:c r="A133" s="41" t="str">
        <x:v>T130</x:v>
      </x:c>
      <x:c r="B133" s="41" t="str">
        <x:v>P08</x:v>
      </x:c>
      <x:c r="C133" s="41" t="str">
        <x:v>M2</x:v>
      </x:c>
      <x:c r="D133" s="41" t="str">
        <x:v>T2</x:v>
      </x:c>
      <x:c r="E133" s="84" t="n">
        <x:v>2</x:v>
      </x:c>
      <x:c r="F133" s="84" t="n">
        <x:v>1</x:v>
      </x:c>
      <x:c r="G133" s="84" t="n">
        <x:v>4</x:v>
      </x:c>
      <x:c r="H133" s="41" t="str">
        <x:v>Trace Active Path</x:v>
      </x:c>
      <x:c r="I133" s="41" t="str">
        <x:v>Fisheye</x:v>
      </x:c>
      <x:c r="J133" s="84" t="n">
        <x:v>241</x:v>
      </x:c>
      <x:c r="K133" s="84" t="str">
        <x:v>search</x:v>
      </x:c>
      <x:c r="L133" s="84" t="n">
        <x:v>156</x:v>
      </x:c>
      <x:c r="M133" s="41" t="str">
        <x:v>Search Movement 1</x:v>
      </x:c>
      <x:c r="N133" s="41" t="str">
        <x:v>Path 1 &gt; 2 &gt; 3 &gt; 152 &gt; 154 &gt; 155 &gt; 156</x:v>
      </x:c>
      <x:c r="O133" s="41" t="str">
        <x:v>Report Root &gt; Continuous Tactical Decisions &gt; Reactive Tactical Priority &gt; 9 Last-Known-Position Search &gt; Search Pattern &gt; Search Pattern 1 &gt; Search Movement 1</x:v>
      </x:c>
    </x:row>
    <x:row r="134">
      <x:c r="A134" s="41" t="str">
        <x:v>T131</x:v>
      </x:c>
      <x:c r="B134" s="41" t="str">
        <x:v>P08</x:v>
      </x:c>
      <x:c r="C134" s="41" t="str">
        <x:v>M2</x:v>
      </x:c>
      <x:c r="D134" s="41" t="str">
        <x:v>T2</x:v>
      </x:c>
      <x:c r="E134" s="84" t="n">
        <x:v>2</x:v>
      </x:c>
      <x:c r="F134" s="84" t="n">
        <x:v>1</x:v>
      </x:c>
      <x:c r="G134" s="84" t="n">
        <x:v>5</x:v>
      </x:c>
      <x:c r="H134" s="41" t="str">
        <x:v>Trace Active Path</x:v>
      </x:c>
      <x:c r="I134" s="41" t="str">
        <x:v>Minimap</x:v>
      </x:c>
      <x:c r="J134" s="84" t="n">
        <x:v>241</x:v>
      </x:c>
      <x:c r="K134" s="84" t="str">
        <x:v>obstacle</x:v>
      </x:c>
      <x:c r="L134" s="84" t="n">
        <x:v>83</x:v>
      </x:c>
      <x:c r="M134" s="41" t="str">
        <x:v>Jump Obstacle 1</x:v>
      </x:c>
      <x:c r="N134" s="41" t="str">
        <x:v>Path 1 &gt; 2 &gt; 3 &gt; 79 &gt; 81 &gt; 82 &gt; 83</x:v>
      </x:c>
      <x:c r="O134" s="41" t="str">
        <x:v>Report Root &gt; Continuous Tactical Decisions &gt; Reactive Tactical Priority &gt; 4 Obstacle Traversal &gt; Obstacle Solution &gt; Vault Route 1 &gt; Jump Obstacle 1</x:v>
      </x:c>
    </x:row>
    <x:row r="135">
      <x:c r="A135" s="41" t="str">
        <x:v>T132</x:v>
      </x:c>
      <x:c r="B135" s="41" t="str">
        <x:v>P08</x:v>
      </x:c>
      <x:c r="C135" s="41" t="str">
        <x:v>M2</x:v>
      </x:c>
      <x:c r="D135" s="41" t="str">
        <x:v>T2</x:v>
      </x:c>
      <x:c r="E135" s="84" t="n">
        <x:v>2</x:v>
      </x:c>
      <x:c r="F135" s="84" t="n">
        <x:v>1</x:v>
      </x:c>
      <x:c r="G135" s="84" t="n">
        <x:v>6</x:v>
      </x:c>
      <x:c r="H135" s="41" t="str">
        <x:v>Trace Active Path</x:v>
      </x:c>
      <x:c r="I135" s="41" t="str">
        <x:v>Search</x:v>
      </x:c>
      <x:c r="J135" s="84" t="n">
        <x:v>241</x:v>
      </x:c>
      <x:c r="K135" s="84" t="str">
        <x:v>patrol</x:v>
      </x:c>
      <x:c r="L135" s="84" t="n">
        <x:v>201</x:v>
      </x:c>
      <x:c r="M135" s="41" t="str">
        <x:v>Observe Patrol Point 1</x:v>
      </x:c>
      <x:c r="N135" s="41" t="str">
        <x:v>Path 1 &gt; 2 &gt; 3 &gt; 193 &gt; 196 &gt; 197 &gt; 201</x:v>
      </x:c>
      <x:c r="O135" s="41" t="str">
        <x:v>Report Root &gt; Continuous Tactical Decisions &gt; Reactive Tactical Priority &gt; 11 Layered Patrol &gt; Patrol Route Choice &gt; Patrol Route 1 &gt; Observe Patrol Point 1</x:v>
      </x:c>
    </x:row>
    <x:row r="136">
      <x:c r="A136" s="41" t="str">
        <x:v>T133</x:v>
      </x:c>
      <x:c r="B136" s="41" t="str">
        <x:v>P08</x:v>
      </x:c>
      <x:c r="C136" s="41" t="str">
        <x:v>M2</x:v>
      </x:c>
      <x:c r="D136" s="41" t="str">
        <x:v>T2</x:v>
      </x:c>
      <x:c r="E136" s="84" t="n">
        <x:v>2</x:v>
      </x:c>
      <x:c r="F136" s="84" t="n">
        <x:v>2</x:v>
      </x:c>
      <x:c r="G136" s="84" t="n">
        <x:v>1</x:v>
      </x:c>
      <x:c r="H136" s="41" t="str">
        <x:v>Edit Decorator</x:v>
      </x:c>
      <x:c r="I136" s="41" t="str">
        <x:v>Compact</x:v>
      </x:c>
      <x:c r="J136" s="84" t="n">
        <x:v>241</x:v>
      </x:c>
      <x:c r="K136" s="84" t="str">
        <x:v>chase</x:v>
      </x:c>
      <x:c r="L136" s="84" t="n">
        <x:v>133</x:v>
      </x:c>
      <x:c r="M136" s="41" t="str">
        <x:v>Chase Step Limit 1</x:v>
      </x:c>
      <x:c r="N136" s="41" t="str">
        <x:v>Owner #130 Chase Movement 1; time_limit; 0.8 -&gt; 0.9</x:v>
      </x:c>
      <x:c r="O136" s="41" t="str">
        <x:v>Set Decorator #133 Duration to 0.9; no other change</x:v>
      </x:c>
    </x:row>
    <x:row r="137">
      <x:c r="A137" s="41" t="str">
        <x:v>T134</x:v>
      </x:c>
      <x:c r="B137" s="41" t="str">
        <x:v>P08</x:v>
      </x:c>
      <x:c r="C137" s="41" t="str">
        <x:v>M2</x:v>
      </x:c>
      <x:c r="D137" s="41" t="str">
        <x:v>T2</x:v>
      </x:c>
      <x:c r="E137" s="84" t="n">
        <x:v>2</x:v>
      </x:c>
      <x:c r="F137" s="84" t="n">
        <x:v>2</x:v>
      </x:c>
      <x:c r="G137" s="84" t="n">
        <x:v>2</x:v>
      </x:c>
      <x:c r="H137" s="41" t="str">
        <x:v>Edit Decorator</x:v>
      </x:c>
      <x:c r="I137" s="41" t="str">
        <x:v>Collapse</x:v>
      </x:c>
      <x:c r="J137" s="84" t="n">
        <x:v>241</x:v>
      </x:c>
      <x:c r="K137" s="84" t="str">
        <x:v>search</x:v>
      </x:c>
      <x:c r="L137" s="84" t="n">
        <x:v>159</x:v>
      </x:c>
      <x:c r="M137" s="41" t="str">
        <x:v>Search Leg Limit 1</x:v>
      </x:c>
      <x:c r="N137" s="41" t="str">
        <x:v>Owner #156 Search Movement 1; time_limit; 1.25 -&gt; 1.35</x:v>
      </x:c>
      <x:c r="O137" s="41" t="str">
        <x:v>Set Decorator #159 Duration to 1.35; no other change</x:v>
      </x:c>
    </x:row>
    <x:row r="138">
      <x:c r="A138" s="41" t="str">
        <x:v>T135</x:v>
      </x:c>
      <x:c r="B138" s="41" t="str">
        <x:v>P08</x:v>
      </x:c>
      <x:c r="C138" s="41" t="str">
        <x:v>M2</x:v>
      </x:c>
      <x:c r="D138" s="41" t="str">
        <x:v>T2</x:v>
      </x:c>
      <x:c r="E138" s="84" t="n">
        <x:v>2</x:v>
      </x:c>
      <x:c r="F138" s="84" t="n">
        <x:v>2</x:v>
      </x:c>
      <x:c r="G138" s="84" t="n">
        <x:v>3</x:v>
      </x:c>
      <x:c r="H138" s="41" t="str">
        <x:v>Edit Decorator</x:v>
      </x:c>
      <x:c r="I138" s="41" t="str">
        <x:v>Baseline</x:v>
      </x:c>
      <x:c r="J138" s="84" t="n">
        <x:v>241</x:v>
      </x:c>
      <x:c r="K138" s="84" t="str">
        <x:v>pressure</x:v>
      </x:c>
      <x:c r="L138" s="84" t="n">
        <x:v>114</x:v>
      </x:c>
      <x:c r="M138" s="41" t="str">
        <x:v>Pressure Cooldown 1</x:v>
      </x:c>
      <x:c r="N138" s="41" t="str">
        <x:v>Owner #111 Pressure Reposition 1; cooldown; 0.35 -&gt; 0.45</x:v>
      </x:c>
      <x:c r="O138" s="41" t="str">
        <x:v>Set Decorator #114 Duration to 0.45; no other change</x:v>
      </x:c>
    </x:row>
    <x:row r="139">
      <x:c r="A139" s="41" t="str">
        <x:v>T136</x:v>
      </x:c>
      <x:c r="B139" s="41" t="str">
        <x:v>P08</x:v>
      </x:c>
      <x:c r="C139" s="41" t="str">
        <x:v>M2</x:v>
      </x:c>
      <x:c r="D139" s="41" t="str">
        <x:v>T2</x:v>
      </x:c>
      <x:c r="E139" s="84" t="n">
        <x:v>2</x:v>
      </x:c>
      <x:c r="F139" s="84" t="n">
        <x:v>2</x:v>
      </x:c>
      <x:c r="G139" s="84" t="n">
        <x:v>4</x:v>
      </x:c>
      <x:c r="H139" s="41" t="str">
        <x:v>Edit Decorator</x:v>
      </x:c>
      <x:c r="I139" s="41" t="str">
        <x:v>Fisheye</x:v>
      </x:c>
      <x:c r="J139" s="84" t="n">
        <x:v>241</x:v>
      </x:c>
      <x:c r="K139" s="84" t="str">
        <x:v>return</x:v>
      </x:c>
      <x:c r="L139" s="84" t="n">
        <x:v>182</x:v>
      </x:c>
      <x:c r="M139" s="41" t="str">
        <x:v>Return Step Limit 1</x:v>
      </x:c>
      <x:c r="N139" s="41" t="str">
        <x:v>Owner #179 Return Movement 1; time_limit; 0.9 -&gt; 1</x:v>
      </x:c>
      <x:c r="O139" s="41" t="str">
        <x:v>Set Decorator #182 Duration to 1; no other change</x:v>
      </x:c>
    </x:row>
    <x:row r="140">
      <x:c r="A140" s="41" t="str">
        <x:v>T137</x:v>
      </x:c>
      <x:c r="B140" s="41" t="str">
        <x:v>P08</x:v>
      </x:c>
      <x:c r="C140" s="41" t="str">
        <x:v>M2</x:v>
      </x:c>
      <x:c r="D140" s="41" t="str">
        <x:v>T2</x:v>
      </x:c>
      <x:c r="E140" s="84" t="n">
        <x:v>2</x:v>
      </x:c>
      <x:c r="F140" s="84" t="n">
        <x:v>2</x:v>
      </x:c>
      <x:c r="G140" s="84" t="n">
        <x:v>5</x:v>
      </x:c>
      <x:c r="H140" s="41" t="str">
        <x:v>Edit Decorator</x:v>
      </x:c>
      <x:c r="I140" s="41" t="str">
        <x:v>Minimap</x:v>
      </x:c>
      <x:c r="J140" s="84" t="n">
        <x:v>241</x:v>
      </x:c>
      <x:c r="K140" s="84" t="str">
        <x:v>defense</x:v>
      </x:c>
      <x:c r="L140" s="84" t="n">
        <x:v>31</x:v>
      </x:c>
      <x:c r="M140" s="41" t="str">
        <x:v>Defense Cooldown 1</x:v>
      </x:c>
      <x:c r="N140" s="41" t="str">
        <x:v>Owner #29 Dodge Left; cooldown; 0.45 -&gt; 0.55</x:v>
      </x:c>
      <x:c r="O140" s="41" t="str">
        <x:v>Set Decorator #31 Duration to 0.55; no other change</x:v>
      </x:c>
    </x:row>
    <x:row r="141">
      <x:c r="A141" s="41" t="str">
        <x:v>T138</x:v>
      </x:c>
      <x:c r="B141" s="41" t="str">
        <x:v>P08</x:v>
      </x:c>
      <x:c r="C141" s="41" t="str">
        <x:v>M2</x:v>
      </x:c>
      <x:c r="D141" s="41" t="str">
        <x:v>T2</x:v>
      </x:c>
      <x:c r="E141" s="84" t="n">
        <x:v>2</x:v>
      </x:c>
      <x:c r="F141" s="84" t="n">
        <x:v>2</x:v>
      </x:c>
      <x:c r="G141" s="84" t="n">
        <x:v>6</x:v>
      </x:c>
      <x:c r="H141" s="41" t="str">
        <x:v>Edit Decorator</x:v>
      </x:c>
      <x:c r="I141" s="41" t="str">
        <x:v>Search</x:v>
      </x:c>
      <x:c r="J141" s="84" t="n">
        <x:v>241</x:v>
      </x:c>
      <x:c r="K141" s="84" t="str">
        <x:v>patrol</x:v>
      </x:c>
      <x:c r="L141" s="84" t="n">
        <x:v>202</x:v>
      </x:c>
      <x:c r="M141" s="41" t="str">
        <x:v>Patrol Leg Limit 1</x:v>
      </x:c>
      <x:c r="N141" s="41" t="str">
        <x:v>Owner #199 Patrol Movement 1; time_limit; 1.5 -&gt; 1.6</x:v>
      </x:c>
      <x:c r="O141" s="41" t="str">
        <x:v>Set Decorator #202 Duration to 1.6; no other change</x:v>
      </x:c>
    </x:row>
    <x:row r="142">
      <x:c r="A142" s="41" t="str">
        <x:v>T139</x:v>
      </x:c>
      <x:c r="B142" s="41" t="str">
        <x:v>P08</x:v>
      </x:c>
      <x:c r="C142" s="41" t="str">
        <x:v>M2</x:v>
      </x:c>
      <x:c r="D142" s="41" t="str">
        <x:v>T2</x:v>
      </x:c>
      <x:c r="E142" s="84" t="n">
        <x:v>2</x:v>
      </x:c>
      <x:c r="F142" s="84" t="n">
        <x:v>3</x:v>
      </x:c>
      <x:c r="G142" s="84" t="n">
        <x:v>1</x:v>
      </x:c>
      <x:c r="H142" s="41" t="str">
        <x:v>Locate Action</x:v>
      </x:c>
      <x:c r="I142" s="41" t="str">
        <x:v>Compact</x:v>
      </x:c>
      <x:c r="J142" s="84" t="n">
        <x:v>241</x:v>
      </x:c>
      <x:c r="K142" s="84" t="str">
        <x:v>ranged</x:v>
      </x:c>
      <x:c r="L142" s="84" t="n">
        <x:v>101</x:v>
      </x:c>
      <x:c r="M142" s="41" t="str">
        <x:v>Fire Projectile 1</x:v>
      </x:c>
      <x:c r="N142" s="41" t="str">
        <x:v>Path 1 &gt; 2 &gt; 3 &gt; 95 &gt; 97 &gt; 98 &gt; 101</x:v>
      </x:c>
      <x:c r="O142" s="41" t="str">
        <x:v>Select #101 Fire Projectile 1</x:v>
      </x:c>
    </x:row>
    <x:row r="143">
      <x:c r="A143" s="41" t="str">
        <x:v>T140</x:v>
      </x:c>
      <x:c r="B143" s="41" t="str">
        <x:v>P08</x:v>
      </x:c>
      <x:c r="C143" s="41" t="str">
        <x:v>M2</x:v>
      </x:c>
      <x:c r="D143" s="41" t="str">
        <x:v>T2</x:v>
      </x:c>
      <x:c r="E143" s="84" t="n">
        <x:v>2</x:v>
      </x:c>
      <x:c r="F143" s="84" t="n">
        <x:v>3</x:v>
      </x:c>
      <x:c r="G143" s="84" t="n">
        <x:v>2</x:v>
      </x:c>
      <x:c r="H143" s="41" t="str">
        <x:v>Locate Action</x:v>
      </x:c>
      <x:c r="I143" s="41" t="str">
        <x:v>Collapse</x:v>
      </x:c>
      <x:c r="J143" s="84" t="n">
        <x:v>241</x:v>
      </x:c>
      <x:c r="K143" s="84" t="str">
        <x:v>pressure</x:v>
      </x:c>
      <x:c r="L143" s="84" t="n">
        <x:v>113</x:v>
      </x:c>
      <x:c r="M143" s="41" t="str">
        <x:v>Pressure Advance 1</x:v>
      </x:c>
      <x:c r="N143" s="41" t="str">
        <x:v>Path 1 &gt; 2 &gt; 3 &gt; 107 &gt; 109 &gt; 110 &gt; 113</x:v>
      </x:c>
      <x:c r="O143" s="41" t="str">
        <x:v>Select #113 Pressure Advance 1</x:v>
      </x:c>
    </x:row>
    <x:row r="144">
      <x:c r="A144" s="41" t="str">
        <x:v>T141</x:v>
      </x:c>
      <x:c r="B144" s="41" t="str">
        <x:v>P08</x:v>
      </x:c>
      <x:c r="C144" s="41" t="str">
        <x:v>M2</x:v>
      </x:c>
      <x:c r="D144" s="41" t="str">
        <x:v>T2</x:v>
      </x:c>
      <x:c r="E144" s="84" t="n">
        <x:v>2</x:v>
      </x:c>
      <x:c r="F144" s="84" t="n">
        <x:v>3</x:v>
      </x:c>
      <x:c r="G144" s="84" t="n">
        <x:v>3</x:v>
      </x:c>
      <x:c r="H144" s="41" t="str">
        <x:v>Locate Action</x:v>
      </x:c>
      <x:c r="I144" s="41" t="str">
        <x:v>Baseline</x:v>
      </x:c>
      <x:c r="J144" s="84" t="n">
        <x:v>241</x:v>
      </x:c>
      <x:c r="K144" s="84" t="str">
        <x:v>vertical</x:v>
      </x:c>
      <x:c r="L144" s="84" t="n">
        <x:v>91</x:v>
      </x:c>
      <x:c r="M144" s="41" t="str">
        <x:v>Climb Ladder 1</x:v>
      </x:c>
      <x:c r="N144" s="41" t="str">
        <x:v>Path 1 &gt; 2 &gt; 3 &gt; 87 &gt; 89 &gt; 90 &gt; 91</x:v>
      </x:c>
      <x:c r="O144" s="41" t="str">
        <x:v>Select #91 Climb Ladder 1</x:v>
      </x:c>
    </x:row>
    <x:row r="145">
      <x:c r="A145" s="41" t="str">
        <x:v>T142</x:v>
      </x:c>
      <x:c r="B145" s="41" t="str">
        <x:v>P08</x:v>
      </x:c>
      <x:c r="C145" s="41" t="str">
        <x:v>M2</x:v>
      </x:c>
      <x:c r="D145" s="41" t="str">
        <x:v>T2</x:v>
      </x:c>
      <x:c r="E145" s="84" t="n">
        <x:v>2</x:v>
      </x:c>
      <x:c r="F145" s="84" t="n">
        <x:v>3</x:v>
      </x:c>
      <x:c r="G145" s="84" t="n">
        <x:v>4</x:v>
      </x:c>
      <x:c r="H145" s="41" t="str">
        <x:v>Locate Action</x:v>
      </x:c>
      <x:c r="I145" s="41" t="str">
        <x:v>Fisheye</x:v>
      </x:c>
      <x:c r="J145" s="84" t="n">
        <x:v>241</x:v>
      </x:c>
      <x:c r="K145" s="84" t="str">
        <x:v>search</x:v>
      </x:c>
      <x:c r="L145" s="84" t="n">
        <x:v>156</x:v>
      </x:c>
      <x:c r="M145" s="41" t="str">
        <x:v>Search Movement 1</x:v>
      </x:c>
      <x:c r="N145" s="41" t="str">
        <x:v>Path 1 &gt; 2 &gt; 3 &gt; 152 &gt; 154 &gt; 155 &gt; 156</x:v>
      </x:c>
      <x:c r="O145" s="41" t="str">
        <x:v>Select #156 Search Movement 1</x:v>
      </x:c>
    </x:row>
    <x:row r="146">
      <x:c r="A146" s="41" t="str">
        <x:v>T143</x:v>
      </x:c>
      <x:c r="B146" s="41" t="str">
        <x:v>P08</x:v>
      </x:c>
      <x:c r="C146" s="41" t="str">
        <x:v>M2</x:v>
      </x:c>
      <x:c r="D146" s="41" t="str">
        <x:v>T2</x:v>
      </x:c>
      <x:c r="E146" s="84" t="n">
        <x:v>2</x:v>
      </x:c>
      <x:c r="F146" s="84" t="n">
        <x:v>3</x:v>
      </x:c>
      <x:c r="G146" s="84" t="n">
        <x:v>5</x:v>
      </x:c>
      <x:c r="H146" s="41" t="str">
        <x:v>Locate Action</x:v>
      </x:c>
      <x:c r="I146" s="41" t="str">
        <x:v>Minimap</x:v>
      </x:c>
      <x:c r="J146" s="84" t="n">
        <x:v>241</x:v>
      </x:c>
      <x:c r="K146" s="84" t="str">
        <x:v>obstacle</x:v>
      </x:c>
      <x:c r="L146" s="84" t="n">
        <x:v>83</x:v>
      </x:c>
      <x:c r="M146" s="41" t="str">
        <x:v>Jump Obstacle 1</x:v>
      </x:c>
      <x:c r="N146" s="41" t="str">
        <x:v>Path 1 &gt; 2 &gt; 3 &gt; 79 &gt; 81 &gt; 82 &gt; 83</x:v>
      </x:c>
      <x:c r="O146" s="41" t="str">
        <x:v>Select #83 Jump Obstacle 1</x:v>
      </x:c>
    </x:row>
    <x:row r="147">
      <x:c r="A147" s="41" t="str">
        <x:v>T144</x:v>
      </x:c>
      <x:c r="B147" s="41" t="str">
        <x:v>P08</x:v>
      </x:c>
      <x:c r="C147" s="41" t="str">
        <x:v>M2</x:v>
      </x:c>
      <x:c r="D147" s="41" t="str">
        <x:v>T2</x:v>
      </x:c>
      <x:c r="E147" s="84" t="n">
        <x:v>2</x:v>
      </x:c>
      <x:c r="F147" s="84" t="n">
        <x:v>3</x:v>
      </x:c>
      <x:c r="G147" s="84" t="n">
        <x:v>6</x:v>
      </x:c>
      <x:c r="H147" s="41" t="str">
        <x:v>Locate Action</x:v>
      </x:c>
      <x:c r="I147" s="41" t="str">
        <x:v>Search</x:v>
      </x:c>
      <x:c r="J147" s="84" t="n">
        <x:v>241</x:v>
      </x:c>
      <x:c r="K147" s="84" t="str">
        <x:v>patrol</x:v>
      </x:c>
      <x:c r="L147" s="84" t="n">
        <x:v>201</x:v>
      </x:c>
      <x:c r="M147" s="41" t="str">
        <x:v>Observe Patrol Point 1</x:v>
      </x:c>
      <x:c r="N147" s="41" t="str">
        <x:v>Path 1 &gt; 2 &gt; 3 &gt; 193 &gt; 196 &gt; 197 &gt; 201</x:v>
      </x:c>
      <x:c r="O147" s="41" t="str">
        <x:v>Select #201 Observe Patrol Point 1</x:v>
      </x:c>
    </x:row>
    <x:row r="148">
      <x:c r="A148" s="41" t="str">
        <x:v>T145</x:v>
      </x:c>
      <x:c r="B148" s="41" t="str">
        <x:v>P09</x:v>
      </x:c>
      <x:c r="C148" s="41" t="str">
        <x:v>M3</x:v>
      </x:c>
      <x:c r="D148" s="41" t="str">
        <x:v>T3</x:v>
      </x:c>
      <x:c r="E148" s="84" t="n">
        <x:v>3</x:v>
      </x:c>
      <x:c r="F148" s="84" t="n">
        <x:v>1</x:v>
      </x:c>
      <x:c r="G148" s="84" t="n">
        <x:v>1</x:v>
      </x:c>
      <x:c r="H148" s="41" t="str">
        <x:v>Edit Decorator</x:v>
      </x:c>
      <x:c r="I148" s="41" t="str">
        <x:v>Collapse</x:v>
      </x:c>
      <x:c r="J148" s="84" t="n">
        <x:v>241</x:v>
      </x:c>
      <x:c r="K148" s="84" t="str">
        <x:v>return</x:v>
      </x:c>
      <x:c r="L148" s="84" t="n">
        <x:v>182</x:v>
      </x:c>
      <x:c r="M148" s="41" t="str">
        <x:v>Return Step Limit 1</x:v>
      </x:c>
      <x:c r="N148" s="41" t="str">
        <x:v>Owner #179 Return Movement 1; time_limit; 0.9 -&gt; 1</x:v>
      </x:c>
      <x:c r="O148" s="41" t="str">
        <x:v>Set Decorator #182 Duration to 1; no other change</x:v>
      </x:c>
    </x:row>
    <x:row r="149">
      <x:c r="A149" s="41" t="str">
        <x:v>T146</x:v>
      </x:c>
      <x:c r="B149" s="41" t="str">
        <x:v>P09</x:v>
      </x:c>
      <x:c r="C149" s="41" t="str">
        <x:v>M3</x:v>
      </x:c>
      <x:c r="D149" s="41" t="str">
        <x:v>T3</x:v>
      </x:c>
      <x:c r="E149" s="84" t="n">
        <x:v>3</x:v>
      </x:c>
      <x:c r="F149" s="84" t="n">
        <x:v>1</x:v>
      </x:c>
      <x:c r="G149" s="84" t="n">
        <x:v>2</x:v>
      </x:c>
      <x:c r="H149" s="41" t="str">
        <x:v>Edit Decorator</x:v>
      </x:c>
      <x:c r="I149" s="41" t="str">
        <x:v>Fisheye</x:v>
      </x:c>
      <x:c r="J149" s="84" t="n">
        <x:v>241</x:v>
      </x:c>
      <x:c r="K149" s="84" t="str">
        <x:v>patrol</x:v>
      </x:c>
      <x:c r="L149" s="84" t="n">
        <x:v>202</x:v>
      </x:c>
      <x:c r="M149" s="41" t="str">
        <x:v>Patrol Leg Limit 1</x:v>
      </x:c>
      <x:c r="N149" s="41" t="str">
        <x:v>Owner #199 Patrol Movement 1; time_limit; 1.5 -&gt; 1.6</x:v>
      </x:c>
      <x:c r="O149" s="41" t="str">
        <x:v>Set Decorator #202 Duration to 1.6; no other change</x:v>
      </x:c>
    </x:row>
    <x:row r="150">
      <x:c r="A150" s="41" t="str">
        <x:v>T147</x:v>
      </x:c>
      <x:c r="B150" s="41" t="str">
        <x:v>P09</x:v>
      </x:c>
      <x:c r="C150" s="41" t="str">
        <x:v>M3</x:v>
      </x:c>
      <x:c r="D150" s="41" t="str">
        <x:v>T3</x:v>
      </x:c>
      <x:c r="E150" s="84" t="n">
        <x:v>3</x:v>
      </x:c>
      <x:c r="F150" s="84" t="n">
        <x:v>1</x:v>
      </x:c>
      <x:c r="G150" s="84" t="n">
        <x:v>3</x:v>
      </x:c>
      <x:c r="H150" s="41" t="str">
        <x:v>Edit Decorator</x:v>
      </x:c>
      <x:c r="I150" s="41" t="str">
        <x:v>Compact</x:v>
      </x:c>
      <x:c r="J150" s="84" t="n">
        <x:v>241</x:v>
      </x:c>
      <x:c r="K150" s="84" t="str">
        <x:v>search</x:v>
      </x:c>
      <x:c r="L150" s="84" t="n">
        <x:v>159</x:v>
      </x:c>
      <x:c r="M150" s="41" t="str">
        <x:v>Search Leg Limit 1</x:v>
      </x:c>
      <x:c r="N150" s="41" t="str">
        <x:v>Owner #156 Search Movement 1; time_limit; 1.25 -&gt; 1.35</x:v>
      </x:c>
      <x:c r="O150" s="41" t="str">
        <x:v>Set Decorator #159 Duration to 1.35; no other change</x:v>
      </x:c>
    </x:row>
    <x:row r="151">
      <x:c r="A151" s="41" t="str">
        <x:v>T148</x:v>
      </x:c>
      <x:c r="B151" s="41" t="str">
        <x:v>P09</x:v>
      </x:c>
      <x:c r="C151" s="41" t="str">
        <x:v>M3</x:v>
      </x:c>
      <x:c r="D151" s="41" t="str">
        <x:v>T3</x:v>
      </x:c>
      <x:c r="E151" s="84" t="n">
        <x:v>3</x:v>
      </x:c>
      <x:c r="F151" s="84" t="n">
        <x:v>1</x:v>
      </x:c>
      <x:c r="G151" s="84" t="n">
        <x:v>4</x:v>
      </x:c>
      <x:c r="H151" s="41" t="str">
        <x:v>Edit Decorator</x:v>
      </x:c>
      <x:c r="I151" s="41" t="str">
        <x:v>Search</x:v>
      </x:c>
      <x:c r="J151" s="84" t="n">
        <x:v>241</x:v>
      </x:c>
      <x:c r="K151" s="84" t="str">
        <x:v>defense</x:v>
      </x:c>
      <x:c r="L151" s="84" t="n">
        <x:v>31</x:v>
      </x:c>
      <x:c r="M151" s="41" t="str">
        <x:v>Defense Cooldown 1</x:v>
      </x:c>
      <x:c r="N151" s="41" t="str">
        <x:v>Owner #29 Dodge Left; cooldown; 0.45 -&gt; 0.55</x:v>
      </x:c>
      <x:c r="O151" s="41" t="str">
        <x:v>Set Decorator #31 Duration to 0.55; no other change</x:v>
      </x:c>
    </x:row>
    <x:row r="152">
      <x:c r="A152" s="41" t="str">
        <x:v>T149</x:v>
      </x:c>
      <x:c r="B152" s="41" t="str">
        <x:v>P09</x:v>
      </x:c>
      <x:c r="C152" s="41" t="str">
        <x:v>M3</x:v>
      </x:c>
      <x:c r="D152" s="41" t="str">
        <x:v>T3</x:v>
      </x:c>
      <x:c r="E152" s="84" t="n">
        <x:v>3</x:v>
      </x:c>
      <x:c r="F152" s="84" t="n">
        <x:v>1</x:v>
      </x:c>
      <x:c r="G152" s="84" t="n">
        <x:v>5</x:v>
      </x:c>
      <x:c r="H152" s="41" t="str">
        <x:v>Edit Decorator</x:v>
      </x:c>
      <x:c r="I152" s="41" t="str">
        <x:v>Baseline</x:v>
      </x:c>
      <x:c r="J152" s="84" t="n">
        <x:v>241</x:v>
      </x:c>
      <x:c r="K152" s="84" t="str">
        <x:v>chase</x:v>
      </x:c>
      <x:c r="L152" s="84" t="n">
        <x:v>133</x:v>
      </x:c>
      <x:c r="M152" s="41" t="str">
        <x:v>Chase Step Limit 1</x:v>
      </x:c>
      <x:c r="N152" s="41" t="str">
        <x:v>Owner #130 Chase Movement 1; time_limit; 0.8 -&gt; 0.9</x:v>
      </x:c>
      <x:c r="O152" s="41" t="str">
        <x:v>Set Decorator #133 Duration to 0.9; no other change</x:v>
      </x:c>
    </x:row>
    <x:row r="153">
      <x:c r="A153" s="41" t="str">
        <x:v>T150</x:v>
      </x:c>
      <x:c r="B153" s="41" t="str">
        <x:v>P09</x:v>
      </x:c>
      <x:c r="C153" s="41" t="str">
        <x:v>M3</x:v>
      </x:c>
      <x:c r="D153" s="41" t="str">
        <x:v>T3</x:v>
      </x:c>
      <x:c r="E153" s="84" t="n">
        <x:v>3</x:v>
      </x:c>
      <x:c r="F153" s="84" t="n">
        <x:v>1</x:v>
      </x:c>
      <x:c r="G153" s="84" t="n">
        <x:v>6</x:v>
      </x:c>
      <x:c r="H153" s="41" t="str">
        <x:v>Edit Decorator</x:v>
      </x:c>
      <x:c r="I153" s="41" t="str">
        <x:v>Minimap</x:v>
      </x:c>
      <x:c r="J153" s="84" t="n">
        <x:v>241</x:v>
      </x:c>
      <x:c r="K153" s="84" t="str">
        <x:v>pressure</x:v>
      </x:c>
      <x:c r="L153" s="84" t="n">
        <x:v>114</x:v>
      </x:c>
      <x:c r="M153" s="41" t="str">
        <x:v>Pressure Cooldown 1</x:v>
      </x:c>
      <x:c r="N153" s="41" t="str">
        <x:v>Owner #111 Pressure Reposition 1; cooldown; 0.35 -&gt; 0.45</x:v>
      </x:c>
      <x:c r="O153" s="41" t="str">
        <x:v>Set Decorator #114 Duration to 0.45; no other change</x:v>
      </x:c>
    </x:row>
    <x:row r="154">
      <x:c r="A154" s="41" t="str">
        <x:v>T151</x:v>
      </x:c>
      <x:c r="B154" s="41" t="str">
        <x:v>P09</x:v>
      </x:c>
      <x:c r="C154" s="41" t="str">
        <x:v>M3</x:v>
      </x:c>
      <x:c r="D154" s="41" t="str">
        <x:v>T3</x:v>
      </x:c>
      <x:c r="E154" s="84" t="n">
        <x:v>3</x:v>
      </x:c>
      <x:c r="F154" s="84" t="n">
        <x:v>2</x:v>
      </x:c>
      <x:c r="G154" s="84" t="n">
        <x:v>1</x:v>
      </x:c>
      <x:c r="H154" s="41" t="str">
        <x:v>Locate Action</x:v>
      </x:c>
      <x:c r="I154" s="41" t="str">
        <x:v>Collapse</x:v>
      </x:c>
      <x:c r="J154" s="84" t="n">
        <x:v>241</x:v>
      </x:c>
      <x:c r="K154" s="84" t="str">
        <x:v>search</x:v>
      </x:c>
      <x:c r="L154" s="84" t="n">
        <x:v>156</x:v>
      </x:c>
      <x:c r="M154" s="41" t="str">
        <x:v>Search Movement 1</x:v>
      </x:c>
      <x:c r="N154" s="41" t="str">
        <x:v>Path 1 &gt; 2 &gt; 3 &gt; 152 &gt; 154 &gt; 155 &gt; 156</x:v>
      </x:c>
      <x:c r="O154" s="41" t="str">
        <x:v>Select #156 Search Movement 1</x:v>
      </x:c>
    </x:row>
    <x:row r="155">
      <x:c r="A155" s="41" t="str">
        <x:v>T152</x:v>
      </x:c>
      <x:c r="B155" s="41" t="str">
        <x:v>P09</x:v>
      </x:c>
      <x:c r="C155" s="41" t="str">
        <x:v>M3</x:v>
      </x:c>
      <x:c r="D155" s="41" t="str">
        <x:v>T3</x:v>
      </x:c>
      <x:c r="E155" s="84" t="n">
        <x:v>3</x:v>
      </x:c>
      <x:c r="F155" s="84" t="n">
        <x:v>2</x:v>
      </x:c>
      <x:c r="G155" s="84" t="n">
        <x:v>2</x:v>
      </x:c>
      <x:c r="H155" s="41" t="str">
        <x:v>Locate Action</x:v>
      </x:c>
      <x:c r="I155" s="41" t="str">
        <x:v>Fisheye</x:v>
      </x:c>
      <x:c r="J155" s="84" t="n">
        <x:v>241</x:v>
      </x:c>
      <x:c r="K155" s="84" t="str">
        <x:v>patrol</x:v>
      </x:c>
      <x:c r="L155" s="84" t="n">
        <x:v>201</x:v>
      </x:c>
      <x:c r="M155" s="41" t="str">
        <x:v>Observe Patrol Point 1</x:v>
      </x:c>
      <x:c r="N155" s="41" t="str">
        <x:v>Path 1 &gt; 2 &gt; 3 &gt; 193 &gt; 196 &gt; 197 &gt; 201</x:v>
      </x:c>
      <x:c r="O155" s="41" t="str">
        <x:v>Select #201 Observe Patrol Point 1</x:v>
      </x:c>
    </x:row>
    <x:row r="156">
      <x:c r="A156" s="41" t="str">
        <x:v>T153</x:v>
      </x:c>
      <x:c r="B156" s="41" t="str">
        <x:v>P09</x:v>
      </x:c>
      <x:c r="C156" s="41" t="str">
        <x:v>M3</x:v>
      </x:c>
      <x:c r="D156" s="41" t="str">
        <x:v>T3</x:v>
      </x:c>
      <x:c r="E156" s="84" t="n">
        <x:v>3</x:v>
      </x:c>
      <x:c r="F156" s="84" t="n">
        <x:v>2</x:v>
      </x:c>
      <x:c r="G156" s="84" t="n">
        <x:v>3</x:v>
      </x:c>
      <x:c r="H156" s="41" t="str">
        <x:v>Locate Action</x:v>
      </x:c>
      <x:c r="I156" s="41" t="str">
        <x:v>Compact</x:v>
      </x:c>
      <x:c r="J156" s="84" t="n">
        <x:v>241</x:v>
      </x:c>
      <x:c r="K156" s="84" t="str">
        <x:v>pressure</x:v>
      </x:c>
      <x:c r="L156" s="84" t="n">
        <x:v>113</x:v>
      </x:c>
      <x:c r="M156" s="41" t="str">
        <x:v>Pressure Advance 1</x:v>
      </x:c>
      <x:c r="N156" s="41" t="str">
        <x:v>Path 1 &gt; 2 &gt; 3 &gt; 107 &gt; 109 &gt; 110 &gt; 113</x:v>
      </x:c>
      <x:c r="O156" s="41" t="str">
        <x:v>Select #113 Pressure Advance 1</x:v>
      </x:c>
    </x:row>
    <x:row r="157">
      <x:c r="A157" s="41" t="str">
        <x:v>T154</x:v>
      </x:c>
      <x:c r="B157" s="41" t="str">
        <x:v>P09</x:v>
      </x:c>
      <x:c r="C157" s="41" t="str">
        <x:v>M3</x:v>
      </x:c>
      <x:c r="D157" s="41" t="str">
        <x:v>T3</x:v>
      </x:c>
      <x:c r="E157" s="84" t="n">
        <x:v>3</x:v>
      </x:c>
      <x:c r="F157" s="84" t="n">
        <x:v>2</x:v>
      </x:c>
      <x:c r="G157" s="84" t="n">
        <x:v>4</x:v>
      </x:c>
      <x:c r="H157" s="41" t="str">
        <x:v>Locate Action</x:v>
      </x:c>
      <x:c r="I157" s="41" t="str">
        <x:v>Search</x:v>
      </x:c>
      <x:c r="J157" s="84" t="n">
        <x:v>241</x:v>
      </x:c>
      <x:c r="K157" s="84" t="str">
        <x:v>obstacle</x:v>
      </x:c>
      <x:c r="L157" s="84" t="n">
        <x:v>83</x:v>
      </x:c>
      <x:c r="M157" s="41" t="str">
        <x:v>Jump Obstacle 1</x:v>
      </x:c>
      <x:c r="N157" s="41" t="str">
        <x:v>Path 1 &gt; 2 &gt; 3 &gt; 79 &gt; 81 &gt; 82 &gt; 83</x:v>
      </x:c>
      <x:c r="O157" s="41" t="str">
        <x:v>Select #83 Jump Obstacle 1</x:v>
      </x:c>
    </x:row>
    <x:row r="158">
      <x:c r="A158" s="41" t="str">
        <x:v>T155</x:v>
      </x:c>
      <x:c r="B158" s="41" t="str">
        <x:v>P09</x:v>
      </x:c>
      <x:c r="C158" s="41" t="str">
        <x:v>M3</x:v>
      </x:c>
      <x:c r="D158" s="41" t="str">
        <x:v>T3</x:v>
      </x:c>
      <x:c r="E158" s="84" t="n">
        <x:v>3</x:v>
      </x:c>
      <x:c r="F158" s="84" t="n">
        <x:v>2</x:v>
      </x:c>
      <x:c r="G158" s="84" t="n">
        <x:v>5</x:v>
      </x:c>
      <x:c r="H158" s="41" t="str">
        <x:v>Locate Action</x:v>
      </x:c>
      <x:c r="I158" s="41" t="str">
        <x:v>Baseline</x:v>
      </x:c>
      <x:c r="J158" s="84" t="n">
        <x:v>241</x:v>
      </x:c>
      <x:c r="K158" s="84" t="str">
        <x:v>ranged</x:v>
      </x:c>
      <x:c r="L158" s="84" t="n">
        <x:v>101</x:v>
      </x:c>
      <x:c r="M158" s="41" t="str">
        <x:v>Fire Projectile 1</x:v>
      </x:c>
      <x:c r="N158" s="41" t="str">
        <x:v>Path 1 &gt; 2 &gt; 3 &gt; 95 &gt; 97 &gt; 98 &gt; 101</x:v>
      </x:c>
      <x:c r="O158" s="41" t="str">
        <x:v>Select #101 Fire Projectile 1</x:v>
      </x:c>
    </x:row>
    <x:row r="159">
      <x:c r="A159" s="41" t="str">
        <x:v>T156</x:v>
      </x:c>
      <x:c r="B159" s="41" t="str">
        <x:v>P09</x:v>
      </x:c>
      <x:c r="C159" s="41" t="str">
        <x:v>M3</x:v>
      </x:c>
      <x:c r="D159" s="41" t="str">
        <x:v>T3</x:v>
      </x:c>
      <x:c r="E159" s="84" t="n">
        <x:v>3</x:v>
      </x:c>
      <x:c r="F159" s="84" t="n">
        <x:v>2</x:v>
      </x:c>
      <x:c r="G159" s="84" t="n">
        <x:v>6</x:v>
      </x:c>
      <x:c r="H159" s="41" t="str">
        <x:v>Locate Action</x:v>
      </x:c>
      <x:c r="I159" s="41" t="str">
        <x:v>Minimap</x:v>
      </x:c>
      <x:c r="J159" s="84" t="n">
        <x:v>241</x:v>
      </x:c>
      <x:c r="K159" s="84" t="str">
        <x:v>vertical</x:v>
      </x:c>
      <x:c r="L159" s="84" t="n">
        <x:v>91</x:v>
      </x:c>
      <x:c r="M159" s="41" t="str">
        <x:v>Climb Ladder 1</x:v>
      </x:c>
      <x:c r="N159" s="41" t="str">
        <x:v>Path 1 &gt; 2 &gt; 3 &gt; 87 &gt; 89 &gt; 90 &gt; 91</x:v>
      </x:c>
      <x:c r="O159" s="41" t="str">
        <x:v>Select #91 Climb Ladder 1</x:v>
      </x:c>
    </x:row>
    <x:row r="160">
      <x:c r="A160" s="41" t="str">
        <x:v>T157</x:v>
      </x:c>
      <x:c r="B160" s="41" t="str">
        <x:v>P09</x:v>
      </x:c>
      <x:c r="C160" s="41" t="str">
        <x:v>M3</x:v>
      </x:c>
      <x:c r="D160" s="41" t="str">
        <x:v>T3</x:v>
      </x:c>
      <x:c r="E160" s="84" t="n">
        <x:v>3</x:v>
      </x:c>
      <x:c r="F160" s="84" t="n">
        <x:v>3</x:v>
      </x:c>
      <x:c r="G160" s="84" t="n">
        <x:v>1</x:v>
      </x:c>
      <x:c r="H160" s="41" t="str">
        <x:v>Trace Active Path</x:v>
      </x:c>
      <x:c r="I160" s="41" t="str">
        <x:v>Collapse</x:v>
      </x:c>
      <x:c r="J160" s="84" t="n">
        <x:v>241</x:v>
      </x:c>
      <x:c r="K160" s="84" t="str">
        <x:v>search</x:v>
      </x:c>
      <x:c r="L160" s="84" t="n">
        <x:v>156</x:v>
      </x:c>
      <x:c r="M160" s="41" t="str">
        <x:v>Search Movement 1</x:v>
      </x:c>
      <x:c r="N160" s="41" t="str">
        <x:v>Path 1 &gt; 2 &gt; 3 &gt; 152 &gt; 154 &gt; 155 &gt; 156</x:v>
      </x:c>
      <x:c r="O160" s="41" t="str">
        <x:v>Report Root &gt; Continuous Tactical Decisions &gt; Reactive Tactical Priority &gt; 9 Last-Known-Position Search &gt; Search Pattern &gt; Search Pattern 1 &gt; Search Movement 1</x:v>
      </x:c>
    </x:row>
    <x:row r="161">
      <x:c r="A161" s="41" t="str">
        <x:v>T158</x:v>
      </x:c>
      <x:c r="B161" s="41" t="str">
        <x:v>P09</x:v>
      </x:c>
      <x:c r="C161" s="41" t="str">
        <x:v>M3</x:v>
      </x:c>
      <x:c r="D161" s="41" t="str">
        <x:v>T3</x:v>
      </x:c>
      <x:c r="E161" s="84" t="n">
        <x:v>3</x:v>
      </x:c>
      <x:c r="F161" s="84" t="n">
        <x:v>3</x:v>
      </x:c>
      <x:c r="G161" s="84" t="n">
        <x:v>2</x:v>
      </x:c>
      <x:c r="H161" s="41" t="str">
        <x:v>Trace Active Path</x:v>
      </x:c>
      <x:c r="I161" s="41" t="str">
        <x:v>Fisheye</x:v>
      </x:c>
      <x:c r="J161" s="84" t="n">
        <x:v>241</x:v>
      </x:c>
      <x:c r="K161" s="84" t="str">
        <x:v>patrol</x:v>
      </x:c>
      <x:c r="L161" s="84" t="n">
        <x:v>201</x:v>
      </x:c>
      <x:c r="M161" s="41" t="str">
        <x:v>Observe Patrol Point 1</x:v>
      </x:c>
      <x:c r="N161" s="41" t="str">
        <x:v>Path 1 &gt; 2 &gt; 3 &gt; 193 &gt; 196 &gt; 197 &gt; 201</x:v>
      </x:c>
      <x:c r="O161" s="41" t="str">
        <x:v>Report Root &gt; Continuous Tactical Decisions &gt; Reactive Tactical Priority &gt; 11 Layered Patrol &gt; Patrol Route Choice &gt; Patrol Route 1 &gt; Observe Patrol Point 1</x:v>
      </x:c>
    </x:row>
    <x:row r="162">
      <x:c r="A162" s="41" t="str">
        <x:v>T159</x:v>
      </x:c>
      <x:c r="B162" s="41" t="str">
        <x:v>P09</x:v>
      </x:c>
      <x:c r="C162" s="41" t="str">
        <x:v>M3</x:v>
      </x:c>
      <x:c r="D162" s="41" t="str">
        <x:v>T3</x:v>
      </x:c>
      <x:c r="E162" s="84" t="n">
        <x:v>3</x:v>
      </x:c>
      <x:c r="F162" s="84" t="n">
        <x:v>3</x:v>
      </x:c>
      <x:c r="G162" s="84" t="n">
        <x:v>3</x:v>
      </x:c>
      <x:c r="H162" s="41" t="str">
        <x:v>Trace Active Path</x:v>
      </x:c>
      <x:c r="I162" s="41" t="str">
        <x:v>Compact</x:v>
      </x:c>
      <x:c r="J162" s="84" t="n">
        <x:v>241</x:v>
      </x:c>
      <x:c r="K162" s="84" t="str">
        <x:v>pressure</x:v>
      </x:c>
      <x:c r="L162" s="84" t="n">
        <x:v>113</x:v>
      </x:c>
      <x:c r="M162" s="41" t="str">
        <x:v>Pressure Advance 1</x:v>
      </x:c>
      <x:c r="N162" s="41" t="str">
        <x:v>Path 1 &gt; 2 &gt; 3 &gt; 107 &gt; 109 &gt; 110 &gt; 113</x:v>
      </x:c>
      <x:c r="O162" s="41" t="str">
        <x:v>Report Root &gt; Continuous Tactical Decisions &gt; Reactive Tactical Priority &gt; 7 Mid-Range Pressure &gt; Pressure Pattern &gt; Pressure Pattern 1 &gt; Pressure Advance 1</x:v>
      </x:c>
    </x:row>
    <x:row r="163">
      <x:c r="A163" s="41" t="str">
        <x:v>T160</x:v>
      </x:c>
      <x:c r="B163" s="41" t="str">
        <x:v>P09</x:v>
      </x:c>
      <x:c r="C163" s="41" t="str">
        <x:v>M3</x:v>
      </x:c>
      <x:c r="D163" s="41" t="str">
        <x:v>T3</x:v>
      </x:c>
      <x:c r="E163" s="84" t="n">
        <x:v>3</x:v>
      </x:c>
      <x:c r="F163" s="84" t="n">
        <x:v>3</x:v>
      </x:c>
      <x:c r="G163" s="84" t="n">
        <x:v>4</x:v>
      </x:c>
      <x:c r="H163" s="41" t="str">
        <x:v>Trace Active Path</x:v>
      </x:c>
      <x:c r="I163" s="41" t="str">
        <x:v>Search</x:v>
      </x:c>
      <x:c r="J163" s="84" t="n">
        <x:v>241</x:v>
      </x:c>
      <x:c r="K163" s="84" t="str">
        <x:v>obstacle</x:v>
      </x:c>
      <x:c r="L163" s="84" t="n">
        <x:v>83</x:v>
      </x:c>
      <x:c r="M163" s="41" t="str">
        <x:v>Jump Obstacle 1</x:v>
      </x:c>
      <x:c r="N163" s="41" t="str">
        <x:v>Path 1 &gt; 2 &gt; 3 &gt; 79 &gt; 81 &gt; 82 &gt; 83</x:v>
      </x:c>
      <x:c r="O163" s="41" t="str">
        <x:v>Report Root &gt; Continuous Tactical Decisions &gt; Reactive Tactical Priority &gt; 4 Obstacle Traversal &gt; Obstacle Solution &gt; Vault Route 1 &gt; Jump Obstacle 1</x:v>
      </x:c>
    </x:row>
    <x:row r="164">
      <x:c r="A164" s="41" t="str">
        <x:v>T161</x:v>
      </x:c>
      <x:c r="B164" s="41" t="str">
        <x:v>P09</x:v>
      </x:c>
      <x:c r="C164" s="41" t="str">
        <x:v>M3</x:v>
      </x:c>
      <x:c r="D164" s="41" t="str">
        <x:v>T3</x:v>
      </x:c>
      <x:c r="E164" s="84" t="n">
        <x:v>3</x:v>
      </x:c>
      <x:c r="F164" s="84" t="n">
        <x:v>3</x:v>
      </x:c>
      <x:c r="G164" s="84" t="n">
        <x:v>5</x:v>
      </x:c>
      <x:c r="H164" s="41" t="str">
        <x:v>Trace Active Path</x:v>
      </x:c>
      <x:c r="I164" s="41" t="str">
        <x:v>Baseline</x:v>
      </x:c>
      <x:c r="J164" s="84" t="n">
        <x:v>241</x:v>
      </x:c>
      <x:c r="K164" s="84" t="str">
        <x:v>ranged</x:v>
      </x:c>
      <x:c r="L164" s="84" t="n">
        <x:v>101</x:v>
      </x:c>
      <x:c r="M164" s="41" t="str">
        <x:v>Fire Projectile 1</x:v>
      </x:c>
      <x:c r="N164" s="41" t="str">
        <x:v>Path 1 &gt; 2 &gt; 3 &gt; 95 &gt; 97 &gt; 98 &gt; 101</x:v>
      </x:c>
      <x:c r="O164" s="41" t="str">
        <x:v>Report Root &gt; Continuous Tactical Decisions &gt; Reactive Tactical Priority &gt; 6 Ranged Suppression &gt; Ranged Firing Pattern &gt; Ranged Pattern 1 &gt; Fire Projectile 1</x:v>
      </x:c>
    </x:row>
    <x:row r="165">
      <x:c r="A165" s="41" t="str">
        <x:v>T162</x:v>
      </x:c>
      <x:c r="B165" s="41" t="str">
        <x:v>P09</x:v>
      </x:c>
      <x:c r="C165" s="41" t="str">
        <x:v>M3</x:v>
      </x:c>
      <x:c r="D165" s="41" t="str">
        <x:v>T3</x:v>
      </x:c>
      <x:c r="E165" s="84" t="n">
        <x:v>3</x:v>
      </x:c>
      <x:c r="F165" s="84" t="n">
        <x:v>3</x:v>
      </x:c>
      <x:c r="G165" s="84" t="n">
        <x:v>6</x:v>
      </x:c>
      <x:c r="H165" s="41" t="str">
        <x:v>Trace Active Path</x:v>
      </x:c>
      <x:c r="I165" s="41" t="str">
        <x:v>Minimap</x:v>
      </x:c>
      <x:c r="J165" s="84" t="n">
        <x:v>241</x:v>
      </x:c>
      <x:c r="K165" s="84" t="str">
        <x:v>vertical</x:v>
      </x:c>
      <x:c r="L165" s="84" t="n">
        <x:v>91</x:v>
      </x:c>
      <x:c r="M165" s="41" t="str">
        <x:v>Climb Ladder 1</x:v>
      </x:c>
      <x:c r="N165" s="41" t="str">
        <x:v>Path 1 &gt; 2 &gt; 3 &gt; 87 &gt; 89 &gt; 90 &gt; 91</x:v>
      </x:c>
      <x:c r="O165" s="41" t="str">
        <x:v>Report Root &gt; Continuous Tactical Decisions &gt; Reactive Tactical Priority &gt; 5 Vertical Pursuit &gt; Climb Approach &gt; Climb Route 1 &gt; Climb Ladder 1</x:v>
      </x:c>
    </x:row>
    <x:row r="166">
      <x:c r="A166" s="41" t="str">
        <x:v>T163</x:v>
      </x:c>
      <x:c r="B166" s="41" t="str">
        <x:v>P10</x:v>
      </x:c>
      <x:c r="C166" s="41" t="str">
        <x:v>M4</x:v>
      </x:c>
      <x:c r="D166" s="41" t="str">
        <x:v>T1</x:v>
      </x:c>
      <x:c r="E166" s="84" t="n">
        <x:v>4</x:v>
      </x:c>
      <x:c r="F166" s="84" t="n">
        <x:v>1</x:v>
      </x:c>
      <x:c r="G166" s="84" t="n">
        <x:v>1</x:v>
      </x:c>
      <x:c r="H166" s="41" t="str">
        <x:v>Locate Action</x:v>
      </x:c>
      <x:c r="I166" s="41" t="str">
        <x:v>Fisheye</x:v>
      </x:c>
      <x:c r="J166" s="84" t="n">
        <x:v>241</x:v>
      </x:c>
      <x:c r="K166" s="84" t="str">
        <x:v>obstacle</x:v>
      </x:c>
      <x:c r="L166" s="84" t="n">
        <x:v>83</x:v>
      </x:c>
      <x:c r="M166" s="41" t="str">
        <x:v>Jump Obstacle 1</x:v>
      </x:c>
      <x:c r="N166" s="41" t="str">
        <x:v>Path 1 &gt; 2 &gt; 3 &gt; 79 &gt; 81 &gt; 82 &gt; 83</x:v>
      </x:c>
      <x:c r="O166" s="41" t="str">
        <x:v>Select #83 Jump Obstacle 1</x:v>
      </x:c>
    </x:row>
    <x:row r="167">
      <x:c r="A167" s="41" t="str">
        <x:v>T164</x:v>
      </x:c>
      <x:c r="B167" s="41" t="str">
        <x:v>P10</x:v>
      </x:c>
      <x:c r="C167" s="41" t="str">
        <x:v>M4</x:v>
      </x:c>
      <x:c r="D167" s="41" t="str">
        <x:v>T1</x:v>
      </x:c>
      <x:c r="E167" s="84" t="n">
        <x:v>4</x:v>
      </x:c>
      <x:c r="F167" s="84" t="n">
        <x:v>1</x:v>
      </x:c>
      <x:c r="G167" s="84" t="n">
        <x:v>2</x:v>
      </x:c>
      <x:c r="H167" s="41" t="str">
        <x:v>Locate Action</x:v>
      </x:c>
      <x:c r="I167" s="41" t="str">
        <x:v>Search</x:v>
      </x:c>
      <x:c r="J167" s="84" t="n">
        <x:v>241</x:v>
      </x:c>
      <x:c r="K167" s="84" t="str">
        <x:v>vertical</x:v>
      </x:c>
      <x:c r="L167" s="84" t="n">
        <x:v>91</x:v>
      </x:c>
      <x:c r="M167" s="41" t="str">
        <x:v>Climb Ladder 1</x:v>
      </x:c>
      <x:c r="N167" s="41" t="str">
        <x:v>Path 1 &gt; 2 &gt; 3 &gt; 87 &gt; 89 &gt; 90 &gt; 91</x:v>
      </x:c>
      <x:c r="O167" s="41" t="str">
        <x:v>Select #91 Climb Ladder 1</x:v>
      </x:c>
    </x:row>
    <x:row r="168">
      <x:c r="A168" s="41" t="str">
        <x:v>T165</x:v>
      </x:c>
      <x:c r="B168" s="41" t="str">
        <x:v>P10</x:v>
      </x:c>
      <x:c r="C168" s="41" t="str">
        <x:v>M4</x:v>
      </x:c>
      <x:c r="D168" s="41" t="str">
        <x:v>T1</x:v>
      </x:c>
      <x:c r="E168" s="84" t="n">
        <x:v>4</x:v>
      </x:c>
      <x:c r="F168" s="84" t="n">
        <x:v>1</x:v>
      </x:c>
      <x:c r="G168" s="84" t="n">
        <x:v>3</x:v>
      </x:c>
      <x:c r="H168" s="41" t="str">
        <x:v>Locate Action</x:v>
      </x:c>
      <x:c r="I168" s="41" t="str">
        <x:v>Collapse</x:v>
      </x:c>
      <x:c r="J168" s="84" t="n">
        <x:v>241</x:v>
      </x:c>
      <x:c r="K168" s="84" t="str">
        <x:v>patrol</x:v>
      </x:c>
      <x:c r="L168" s="84" t="n">
        <x:v>201</x:v>
      </x:c>
      <x:c r="M168" s="41" t="str">
        <x:v>Observe Patrol Point 1</x:v>
      </x:c>
      <x:c r="N168" s="41" t="str">
        <x:v>Path 1 &gt; 2 &gt; 3 &gt; 193 &gt; 196 &gt; 197 &gt; 201</x:v>
      </x:c>
      <x:c r="O168" s="41" t="str">
        <x:v>Select #201 Observe Patrol Point 1</x:v>
      </x:c>
    </x:row>
    <x:row r="169">
      <x:c r="A169" s="41" t="str">
        <x:v>T166</x:v>
      </x:c>
      <x:c r="B169" s="41" t="str">
        <x:v>P10</x:v>
      </x:c>
      <x:c r="C169" s="41" t="str">
        <x:v>M4</x:v>
      </x:c>
      <x:c r="D169" s="41" t="str">
        <x:v>T1</x:v>
      </x:c>
      <x:c r="E169" s="84" t="n">
        <x:v>4</x:v>
      </x:c>
      <x:c r="F169" s="84" t="n">
        <x:v>1</x:v>
      </x:c>
      <x:c r="G169" s="84" t="n">
        <x:v>4</x:v>
      </x:c>
      <x:c r="H169" s="41" t="str">
        <x:v>Locate Action</x:v>
      </x:c>
      <x:c r="I169" s="41" t="str">
        <x:v>Minimap</x:v>
      </x:c>
      <x:c r="J169" s="84" t="n">
        <x:v>241</x:v>
      </x:c>
      <x:c r="K169" s="84" t="str">
        <x:v>ranged</x:v>
      </x:c>
      <x:c r="L169" s="84" t="n">
        <x:v>101</x:v>
      </x:c>
      <x:c r="M169" s="41" t="str">
        <x:v>Fire Projectile 1</x:v>
      </x:c>
      <x:c r="N169" s="41" t="str">
        <x:v>Path 1 &gt; 2 &gt; 3 &gt; 95 &gt; 97 &gt; 98 &gt; 101</x:v>
      </x:c>
      <x:c r="O169" s="41" t="str">
        <x:v>Select #101 Fire Projectile 1</x:v>
      </x:c>
    </x:row>
    <x:row r="170">
      <x:c r="A170" s="41" t="str">
        <x:v>T167</x:v>
      </x:c>
      <x:c r="B170" s="41" t="str">
        <x:v>P10</x:v>
      </x:c>
      <x:c r="C170" s="41" t="str">
        <x:v>M4</x:v>
      </x:c>
      <x:c r="D170" s="41" t="str">
        <x:v>T1</x:v>
      </x:c>
      <x:c r="E170" s="84" t="n">
        <x:v>4</x:v>
      </x:c>
      <x:c r="F170" s="84" t="n">
        <x:v>1</x:v>
      </x:c>
      <x:c r="G170" s="84" t="n">
        <x:v>5</x:v>
      </x:c>
      <x:c r="H170" s="41" t="str">
        <x:v>Locate Action</x:v>
      </x:c>
      <x:c r="I170" s="41" t="str">
        <x:v>Compact</x:v>
      </x:c>
      <x:c r="J170" s="84" t="n">
        <x:v>241</x:v>
      </x:c>
      <x:c r="K170" s="84" t="str">
        <x:v>search</x:v>
      </x:c>
      <x:c r="L170" s="84" t="n">
        <x:v>156</x:v>
      </x:c>
      <x:c r="M170" s="41" t="str">
        <x:v>Search Movement 1</x:v>
      </x:c>
      <x:c r="N170" s="41" t="str">
        <x:v>Path 1 &gt; 2 &gt; 3 &gt; 152 &gt; 154 &gt; 155 &gt; 156</x:v>
      </x:c>
      <x:c r="O170" s="41" t="str">
        <x:v>Select #156 Search Movement 1</x:v>
      </x:c>
    </x:row>
    <x:row r="171">
      <x:c r="A171" s="41" t="str">
        <x:v>T168</x:v>
      </x:c>
      <x:c r="B171" s="41" t="str">
        <x:v>P10</x:v>
      </x:c>
      <x:c r="C171" s="41" t="str">
        <x:v>M4</x:v>
      </x:c>
      <x:c r="D171" s="41" t="str">
        <x:v>T1</x:v>
      </x:c>
      <x:c r="E171" s="84" t="n">
        <x:v>4</x:v>
      </x:c>
      <x:c r="F171" s="84" t="n">
        <x:v>1</x:v>
      </x:c>
      <x:c r="G171" s="84" t="n">
        <x:v>6</x:v>
      </x:c>
      <x:c r="H171" s="41" t="str">
        <x:v>Locate Action</x:v>
      </x:c>
      <x:c r="I171" s="41" t="str">
        <x:v>Baseline</x:v>
      </x:c>
      <x:c r="J171" s="84" t="n">
        <x:v>241</x:v>
      </x:c>
      <x:c r="K171" s="84" t="str">
        <x:v>pressure</x:v>
      </x:c>
      <x:c r="L171" s="84" t="n">
        <x:v>113</x:v>
      </x:c>
      <x:c r="M171" s="41" t="str">
        <x:v>Pressure Advance 1</x:v>
      </x:c>
      <x:c r="N171" s="41" t="str">
        <x:v>Path 1 &gt; 2 &gt; 3 &gt; 107 &gt; 109 &gt; 110 &gt; 113</x:v>
      </x:c>
      <x:c r="O171" s="41" t="str">
        <x:v>Select #113 Pressure Advance 1</x:v>
      </x:c>
    </x:row>
    <x:row r="172">
      <x:c r="A172" s="41" t="str">
        <x:v>T169</x:v>
      </x:c>
      <x:c r="B172" s="41" t="str">
        <x:v>P10</x:v>
      </x:c>
      <x:c r="C172" s="41" t="str">
        <x:v>M4</x:v>
      </x:c>
      <x:c r="D172" s="41" t="str">
        <x:v>T1</x:v>
      </x:c>
      <x:c r="E172" s="84" t="n">
        <x:v>4</x:v>
      </x:c>
      <x:c r="F172" s="84" t="n">
        <x:v>2</x:v>
      </x:c>
      <x:c r="G172" s="84" t="n">
        <x:v>1</x:v>
      </x:c>
      <x:c r="H172" s="41" t="str">
        <x:v>Trace Active Path</x:v>
      </x:c>
      <x:c r="I172" s="41" t="str">
        <x:v>Fisheye</x:v>
      </x:c>
      <x:c r="J172" s="84" t="n">
        <x:v>241</x:v>
      </x:c>
      <x:c r="K172" s="84" t="str">
        <x:v>obstacle</x:v>
      </x:c>
      <x:c r="L172" s="84" t="n">
        <x:v>83</x:v>
      </x:c>
      <x:c r="M172" s="41" t="str">
        <x:v>Jump Obstacle 1</x:v>
      </x:c>
      <x:c r="N172" s="41" t="str">
        <x:v>Path 1 &gt; 2 &gt; 3 &gt; 79 &gt; 81 &gt; 82 &gt; 83</x:v>
      </x:c>
      <x:c r="O172" s="41" t="str">
        <x:v>Report Root &gt; Continuous Tactical Decisions &gt; Reactive Tactical Priority &gt; 4 Obstacle Traversal &gt; Obstacle Solution &gt; Vault Route 1 &gt; Jump Obstacle 1</x:v>
      </x:c>
    </x:row>
    <x:row r="173">
      <x:c r="A173" s="41" t="str">
        <x:v>T170</x:v>
      </x:c>
      <x:c r="B173" s="41" t="str">
        <x:v>P10</x:v>
      </x:c>
      <x:c r="C173" s="41" t="str">
        <x:v>M4</x:v>
      </x:c>
      <x:c r="D173" s="41" t="str">
        <x:v>T1</x:v>
      </x:c>
      <x:c r="E173" s="84" t="n">
        <x:v>4</x:v>
      </x:c>
      <x:c r="F173" s="84" t="n">
        <x:v>2</x:v>
      </x:c>
      <x:c r="G173" s="84" t="n">
        <x:v>2</x:v>
      </x:c>
      <x:c r="H173" s="41" t="str">
        <x:v>Trace Active Path</x:v>
      </x:c>
      <x:c r="I173" s="41" t="str">
        <x:v>Search</x:v>
      </x:c>
      <x:c r="J173" s="84" t="n">
        <x:v>241</x:v>
      </x:c>
      <x:c r="K173" s="84" t="str">
        <x:v>vertical</x:v>
      </x:c>
      <x:c r="L173" s="84" t="n">
        <x:v>91</x:v>
      </x:c>
      <x:c r="M173" s="41" t="str">
        <x:v>Climb Ladder 1</x:v>
      </x:c>
      <x:c r="N173" s="41" t="str">
        <x:v>Path 1 &gt; 2 &gt; 3 &gt; 87 &gt; 89 &gt; 90 &gt; 91</x:v>
      </x:c>
      <x:c r="O173" s="41" t="str">
        <x:v>Report Root &gt; Continuous Tactical Decisions &gt; Reactive Tactical Priority &gt; 5 Vertical Pursuit &gt; Climb Approach &gt; Climb Route 1 &gt; Climb Ladder 1</x:v>
      </x:c>
    </x:row>
    <x:row r="174">
      <x:c r="A174" s="41" t="str">
        <x:v>T171</x:v>
      </x:c>
      <x:c r="B174" s="41" t="str">
        <x:v>P10</x:v>
      </x:c>
      <x:c r="C174" s="41" t="str">
        <x:v>M4</x:v>
      </x:c>
      <x:c r="D174" s="41" t="str">
        <x:v>T1</x:v>
      </x:c>
      <x:c r="E174" s="84" t="n">
        <x:v>4</x:v>
      </x:c>
      <x:c r="F174" s="84" t="n">
        <x:v>2</x:v>
      </x:c>
      <x:c r="G174" s="84" t="n">
        <x:v>3</x:v>
      </x:c>
      <x:c r="H174" s="41" t="str">
        <x:v>Trace Active Path</x:v>
      </x:c>
      <x:c r="I174" s="41" t="str">
        <x:v>Collapse</x:v>
      </x:c>
      <x:c r="J174" s="84" t="n">
        <x:v>241</x:v>
      </x:c>
      <x:c r="K174" s="84" t="str">
        <x:v>patrol</x:v>
      </x:c>
      <x:c r="L174" s="84" t="n">
        <x:v>201</x:v>
      </x:c>
      <x:c r="M174" s="41" t="str">
        <x:v>Observe Patrol Point 1</x:v>
      </x:c>
      <x:c r="N174" s="41" t="str">
        <x:v>Path 1 &gt; 2 &gt; 3 &gt; 193 &gt; 196 &gt; 197 &gt; 201</x:v>
      </x:c>
      <x:c r="O174" s="41" t="str">
        <x:v>Report Root &gt; Continuous Tactical Decisions &gt; Reactive Tactical Priority &gt; 11 Layered Patrol &gt; Patrol Route Choice &gt; Patrol Route 1 &gt; Observe Patrol Point 1</x:v>
      </x:c>
    </x:row>
    <x:row r="175">
      <x:c r="A175" s="41" t="str">
        <x:v>T172</x:v>
      </x:c>
      <x:c r="B175" s="41" t="str">
        <x:v>P10</x:v>
      </x:c>
      <x:c r="C175" s="41" t="str">
        <x:v>M4</x:v>
      </x:c>
      <x:c r="D175" s="41" t="str">
        <x:v>T1</x:v>
      </x:c>
      <x:c r="E175" s="84" t="n">
        <x:v>4</x:v>
      </x:c>
      <x:c r="F175" s="84" t="n">
        <x:v>2</x:v>
      </x:c>
      <x:c r="G175" s="84" t="n">
        <x:v>4</x:v>
      </x:c>
      <x:c r="H175" s="41" t="str">
        <x:v>Trace Active Path</x:v>
      </x:c>
      <x:c r="I175" s="41" t="str">
        <x:v>Minimap</x:v>
      </x:c>
      <x:c r="J175" s="84" t="n">
        <x:v>241</x:v>
      </x:c>
      <x:c r="K175" s="84" t="str">
        <x:v>ranged</x:v>
      </x:c>
      <x:c r="L175" s="84" t="n">
        <x:v>101</x:v>
      </x:c>
      <x:c r="M175" s="41" t="str">
        <x:v>Fire Projectile 1</x:v>
      </x:c>
      <x:c r="N175" s="41" t="str">
        <x:v>Path 1 &gt; 2 &gt; 3 &gt; 95 &gt; 97 &gt; 98 &gt; 101</x:v>
      </x:c>
      <x:c r="O175" s="41" t="str">
        <x:v>Report Root &gt; Continuous Tactical Decisions &gt; Reactive Tactical Priority &gt; 6 Ranged Suppression &gt; Ranged Firing Pattern &gt; Ranged Pattern 1 &gt; Fire Projectile 1</x:v>
      </x:c>
    </x:row>
    <x:row r="176">
      <x:c r="A176" s="41" t="str">
        <x:v>T173</x:v>
      </x:c>
      <x:c r="B176" s="41" t="str">
        <x:v>P10</x:v>
      </x:c>
      <x:c r="C176" s="41" t="str">
        <x:v>M4</x:v>
      </x:c>
      <x:c r="D176" s="41" t="str">
        <x:v>T1</x:v>
      </x:c>
      <x:c r="E176" s="84" t="n">
        <x:v>4</x:v>
      </x:c>
      <x:c r="F176" s="84" t="n">
        <x:v>2</x:v>
      </x:c>
      <x:c r="G176" s="84" t="n">
        <x:v>5</x:v>
      </x:c>
      <x:c r="H176" s="41" t="str">
        <x:v>Trace Active Path</x:v>
      </x:c>
      <x:c r="I176" s="41" t="str">
        <x:v>Compact</x:v>
      </x:c>
      <x:c r="J176" s="84" t="n">
        <x:v>241</x:v>
      </x:c>
      <x:c r="K176" s="84" t="str">
        <x:v>search</x:v>
      </x:c>
      <x:c r="L176" s="84" t="n">
        <x:v>156</x:v>
      </x:c>
      <x:c r="M176" s="41" t="str">
        <x:v>Search Movement 1</x:v>
      </x:c>
      <x:c r="N176" s="41" t="str">
        <x:v>Path 1 &gt; 2 &gt; 3 &gt; 152 &gt; 154 &gt; 155 &gt; 156</x:v>
      </x:c>
      <x:c r="O176" s="41" t="str">
        <x:v>Report Root &gt; Continuous Tactical Decisions &gt; Reactive Tactical Priority &gt; 9 Last-Known-Position Search &gt; Search Pattern &gt; Search Pattern 1 &gt; Search Movement 1</x:v>
      </x:c>
    </x:row>
    <x:row r="177">
      <x:c r="A177" s="41" t="str">
        <x:v>T174</x:v>
      </x:c>
      <x:c r="B177" s="41" t="str">
        <x:v>P10</x:v>
      </x:c>
      <x:c r="C177" s="41" t="str">
        <x:v>M4</x:v>
      </x:c>
      <x:c r="D177" s="41" t="str">
        <x:v>T1</x:v>
      </x:c>
      <x:c r="E177" s="84" t="n">
        <x:v>4</x:v>
      </x:c>
      <x:c r="F177" s="84" t="n">
        <x:v>2</x:v>
      </x:c>
      <x:c r="G177" s="84" t="n">
        <x:v>6</x:v>
      </x:c>
      <x:c r="H177" s="41" t="str">
        <x:v>Trace Active Path</x:v>
      </x:c>
      <x:c r="I177" s="41" t="str">
        <x:v>Baseline</x:v>
      </x:c>
      <x:c r="J177" s="84" t="n">
        <x:v>241</x:v>
      </x:c>
      <x:c r="K177" s="84" t="str">
        <x:v>pressure</x:v>
      </x:c>
      <x:c r="L177" s="84" t="n">
        <x:v>113</x:v>
      </x:c>
      <x:c r="M177" s="41" t="str">
        <x:v>Pressure Advance 1</x:v>
      </x:c>
      <x:c r="N177" s="41" t="str">
        <x:v>Path 1 &gt; 2 &gt; 3 &gt; 107 &gt; 109 &gt; 110 &gt; 113</x:v>
      </x:c>
      <x:c r="O177" s="41" t="str">
        <x:v>Report Root &gt; Continuous Tactical Decisions &gt; Reactive Tactical Priority &gt; 7 Mid-Range Pressure &gt; Pressure Pattern &gt; Pressure Pattern 1 &gt; Pressure Advance 1</x:v>
      </x:c>
    </x:row>
    <x:row r="178">
      <x:c r="A178" s="41" t="str">
        <x:v>T175</x:v>
      </x:c>
      <x:c r="B178" s="41" t="str">
        <x:v>P10</x:v>
      </x:c>
      <x:c r="C178" s="41" t="str">
        <x:v>M4</x:v>
      </x:c>
      <x:c r="D178" s="41" t="str">
        <x:v>T1</x:v>
      </x:c>
      <x:c r="E178" s="84" t="n">
        <x:v>4</x:v>
      </x:c>
      <x:c r="F178" s="84" t="n">
        <x:v>3</x:v>
      </x:c>
      <x:c r="G178" s="84" t="n">
        <x:v>1</x:v>
      </x:c>
      <x:c r="H178" s="41" t="str">
        <x:v>Edit Decorator</x:v>
      </x:c>
      <x:c r="I178" s="41" t="str">
        <x:v>Fisheye</x:v>
      </x:c>
      <x:c r="J178" s="84" t="n">
        <x:v>241</x:v>
      </x:c>
      <x:c r="K178" s="84" t="str">
        <x:v>defense</x:v>
      </x:c>
      <x:c r="L178" s="84" t="n">
        <x:v>31</x:v>
      </x:c>
      <x:c r="M178" s="41" t="str">
        <x:v>Defense Cooldown 1</x:v>
      </x:c>
      <x:c r="N178" s="41" t="str">
        <x:v>Owner #29 Dodge Left; cooldown; 0.45 -&gt; 0.55</x:v>
      </x:c>
      <x:c r="O178" s="41" t="str">
        <x:v>Set Decorator #31 Duration to 0.55; no other change</x:v>
      </x:c>
    </x:row>
    <x:row r="179">
      <x:c r="A179" s="41" t="str">
        <x:v>T176</x:v>
      </x:c>
      <x:c r="B179" s="41" t="str">
        <x:v>P10</x:v>
      </x:c>
      <x:c r="C179" s="41" t="str">
        <x:v>M4</x:v>
      </x:c>
      <x:c r="D179" s="41" t="str">
        <x:v>T1</x:v>
      </x:c>
      <x:c r="E179" s="84" t="n">
        <x:v>4</x:v>
      </x:c>
      <x:c r="F179" s="84" t="n">
        <x:v>3</x:v>
      </x:c>
      <x:c r="G179" s="84" t="n">
        <x:v>2</x:v>
      </x:c>
      <x:c r="H179" s="41" t="str">
        <x:v>Edit Decorator</x:v>
      </x:c>
      <x:c r="I179" s="41" t="str">
        <x:v>Search</x:v>
      </x:c>
      <x:c r="J179" s="84" t="n">
        <x:v>241</x:v>
      </x:c>
      <x:c r="K179" s="84" t="str">
        <x:v>pressure</x:v>
      </x:c>
      <x:c r="L179" s="84" t="n">
        <x:v>114</x:v>
      </x:c>
      <x:c r="M179" s="41" t="str">
        <x:v>Pressure Cooldown 1</x:v>
      </x:c>
      <x:c r="N179" s="41" t="str">
        <x:v>Owner #111 Pressure Reposition 1; cooldown; 0.35 -&gt; 0.45</x:v>
      </x:c>
      <x:c r="O179" s="41" t="str">
        <x:v>Set Decorator #114 Duration to 0.45; no other change</x:v>
      </x:c>
    </x:row>
    <x:row r="180">
      <x:c r="A180" s="41" t="str">
        <x:v>T177</x:v>
      </x:c>
      <x:c r="B180" s="41" t="str">
        <x:v>P10</x:v>
      </x:c>
      <x:c r="C180" s="41" t="str">
        <x:v>M4</x:v>
      </x:c>
      <x:c r="D180" s="41" t="str">
        <x:v>T1</x:v>
      </x:c>
      <x:c r="E180" s="84" t="n">
        <x:v>4</x:v>
      </x:c>
      <x:c r="F180" s="84" t="n">
        <x:v>3</x:v>
      </x:c>
      <x:c r="G180" s="84" t="n">
        <x:v>3</x:v>
      </x:c>
      <x:c r="H180" s="41" t="str">
        <x:v>Edit Decorator</x:v>
      </x:c>
      <x:c r="I180" s="41" t="str">
        <x:v>Collapse</x:v>
      </x:c>
      <x:c r="J180" s="84" t="n">
        <x:v>241</x:v>
      </x:c>
      <x:c r="K180" s="84" t="str">
        <x:v>patrol</x:v>
      </x:c>
      <x:c r="L180" s="84" t="n">
        <x:v>202</x:v>
      </x:c>
      <x:c r="M180" s="41" t="str">
        <x:v>Patrol Leg Limit 1</x:v>
      </x:c>
      <x:c r="N180" s="41" t="str">
        <x:v>Owner #199 Patrol Movement 1; time_limit; 1.5 -&gt; 1.6</x:v>
      </x:c>
      <x:c r="O180" s="41" t="str">
        <x:v>Set Decorator #202 Duration to 1.6; no other change</x:v>
      </x:c>
    </x:row>
    <x:row r="181">
      <x:c r="A181" s="41" t="str">
        <x:v>T178</x:v>
      </x:c>
      <x:c r="B181" s="41" t="str">
        <x:v>P10</x:v>
      </x:c>
      <x:c r="C181" s="41" t="str">
        <x:v>M4</x:v>
      </x:c>
      <x:c r="D181" s="41" t="str">
        <x:v>T1</x:v>
      </x:c>
      <x:c r="E181" s="84" t="n">
        <x:v>4</x:v>
      </x:c>
      <x:c r="F181" s="84" t="n">
        <x:v>3</x:v>
      </x:c>
      <x:c r="G181" s="84" t="n">
        <x:v>4</x:v>
      </x:c>
      <x:c r="H181" s="41" t="str">
        <x:v>Edit Decorator</x:v>
      </x:c>
      <x:c r="I181" s="41" t="str">
        <x:v>Minimap</x:v>
      </x:c>
      <x:c r="J181" s="84" t="n">
        <x:v>241</x:v>
      </x:c>
      <x:c r="K181" s="84" t="str">
        <x:v>chase</x:v>
      </x:c>
      <x:c r="L181" s="84" t="n">
        <x:v>133</x:v>
      </x:c>
      <x:c r="M181" s="41" t="str">
        <x:v>Chase Step Limit 1</x:v>
      </x:c>
      <x:c r="N181" s="41" t="str">
        <x:v>Owner #130 Chase Movement 1; time_limit; 0.8 -&gt; 0.9</x:v>
      </x:c>
      <x:c r="O181" s="41" t="str">
        <x:v>Set Decorator #133 Duration to 0.9; no other change</x:v>
      </x:c>
    </x:row>
    <x:row r="182">
      <x:c r="A182" s="41" t="str">
        <x:v>T179</x:v>
      </x:c>
      <x:c r="B182" s="41" t="str">
        <x:v>P10</x:v>
      </x:c>
      <x:c r="C182" s="41" t="str">
        <x:v>M4</x:v>
      </x:c>
      <x:c r="D182" s="41" t="str">
        <x:v>T1</x:v>
      </x:c>
      <x:c r="E182" s="84" t="n">
        <x:v>4</x:v>
      </x:c>
      <x:c r="F182" s="84" t="n">
        <x:v>3</x:v>
      </x:c>
      <x:c r="G182" s="84" t="n">
        <x:v>5</x:v>
      </x:c>
      <x:c r="H182" s="41" t="str">
        <x:v>Edit Decorator</x:v>
      </x:c>
      <x:c r="I182" s="41" t="str">
        <x:v>Compact</x:v>
      </x:c>
      <x:c r="J182" s="84" t="n">
        <x:v>241</x:v>
      </x:c>
      <x:c r="K182" s="84" t="str">
        <x:v>return</x:v>
      </x:c>
      <x:c r="L182" s="84" t="n">
        <x:v>182</x:v>
      </x:c>
      <x:c r="M182" s="41" t="str">
        <x:v>Return Step Limit 1</x:v>
      </x:c>
      <x:c r="N182" s="41" t="str">
        <x:v>Owner #179 Return Movement 1; time_limit; 0.9 -&gt; 1</x:v>
      </x:c>
      <x:c r="O182" s="41" t="str">
        <x:v>Set Decorator #182 Duration to 1; no other change</x:v>
      </x:c>
    </x:row>
    <x:row r="183">
      <x:c r="A183" s="41" t="str">
        <x:v>T180</x:v>
      </x:c>
      <x:c r="B183" s="41" t="str">
        <x:v>P10</x:v>
      </x:c>
      <x:c r="C183" s="41" t="str">
        <x:v>M4</x:v>
      </x:c>
      <x:c r="D183" s="41" t="str">
        <x:v>T1</x:v>
      </x:c>
      <x:c r="E183" s="84" t="n">
        <x:v>4</x:v>
      </x:c>
      <x:c r="F183" s="84" t="n">
        <x:v>3</x:v>
      </x:c>
      <x:c r="G183" s="84" t="n">
        <x:v>6</x:v>
      </x:c>
      <x:c r="H183" s="41" t="str">
        <x:v>Edit Decorator</x:v>
      </x:c>
      <x:c r="I183" s="41" t="str">
        <x:v>Baseline</x:v>
      </x:c>
      <x:c r="J183" s="84" t="n">
        <x:v>241</x:v>
      </x:c>
      <x:c r="K183" s="84" t="str">
        <x:v>search</x:v>
      </x:c>
      <x:c r="L183" s="84" t="n">
        <x:v>159</x:v>
      </x:c>
      <x:c r="M183" s="41" t="str">
        <x:v>Search Leg Limit 1</x:v>
      </x:c>
      <x:c r="N183" s="41" t="str">
        <x:v>Owner #156 Search Movement 1; time_limit; 1.25 -&gt; 1.35</x:v>
      </x:c>
      <x:c r="O183" s="41" t="str">
        <x:v>Set Decorator #159 Duration to 1.35; no other change</x:v>
      </x:c>
    </x:row>
    <x:row r="184">
      <x:c r="A184" s="41" t="str">
        <x:v>T181</x:v>
      </x:c>
      <x:c r="B184" s="41" t="str">
        <x:v>P11</x:v>
      </x:c>
      <x:c r="C184" s="41" t="str">
        <x:v>M5</x:v>
      </x:c>
      <x:c r="D184" s="41" t="str">
        <x:v>T2</x:v>
      </x:c>
      <x:c r="E184" s="84" t="n">
        <x:v>5</x:v>
      </x:c>
      <x:c r="F184" s="84" t="n">
        <x:v>1</x:v>
      </x:c>
      <x:c r="G184" s="84" t="n">
        <x:v>1</x:v>
      </x:c>
      <x:c r="H184" s="41" t="str">
        <x:v>Trace Active Path</x:v>
      </x:c>
      <x:c r="I184" s="41" t="str">
        <x:v>Search</x:v>
      </x:c>
      <x:c r="J184" s="84" t="n">
        <x:v>241</x:v>
      </x:c>
      <x:c r="K184" s="84" t="str">
        <x:v>ranged</x:v>
      </x:c>
      <x:c r="L184" s="84" t="n">
        <x:v>101</x:v>
      </x:c>
      <x:c r="M184" s="41" t="str">
        <x:v>Fire Projectile 1</x:v>
      </x:c>
      <x:c r="N184" s="41" t="str">
        <x:v>Path 1 &gt; 2 &gt; 3 &gt; 95 &gt; 97 &gt; 98 &gt; 101</x:v>
      </x:c>
      <x:c r="O184" s="41" t="str">
        <x:v>Report Root &gt; Continuous Tactical Decisions &gt; Reactive Tactical Priority &gt; 6 Ranged Suppression &gt; Ranged Firing Pattern &gt; Ranged Pattern 1 &gt; Fire Projectile 1</x:v>
      </x:c>
    </x:row>
    <x:row r="185">
      <x:c r="A185" s="41" t="str">
        <x:v>T182</x:v>
      </x:c>
      <x:c r="B185" s="41" t="str">
        <x:v>P11</x:v>
      </x:c>
      <x:c r="C185" s="41" t="str">
        <x:v>M5</x:v>
      </x:c>
      <x:c r="D185" s="41" t="str">
        <x:v>T2</x:v>
      </x:c>
      <x:c r="E185" s="84" t="n">
        <x:v>5</x:v>
      </x:c>
      <x:c r="F185" s="84" t="n">
        <x:v>1</x:v>
      </x:c>
      <x:c r="G185" s="84" t="n">
        <x:v>2</x:v>
      </x:c>
      <x:c r="H185" s="41" t="str">
        <x:v>Trace Active Path</x:v>
      </x:c>
      <x:c r="I185" s="41" t="str">
        <x:v>Minimap</x:v>
      </x:c>
      <x:c r="J185" s="84" t="n">
        <x:v>241</x:v>
      </x:c>
      <x:c r="K185" s="84" t="str">
        <x:v>pressure</x:v>
      </x:c>
      <x:c r="L185" s="84" t="n">
        <x:v>113</x:v>
      </x:c>
      <x:c r="M185" s="41" t="str">
        <x:v>Pressure Advance 1</x:v>
      </x:c>
      <x:c r="N185" s="41" t="str">
        <x:v>Path 1 &gt; 2 &gt; 3 &gt; 107 &gt; 109 &gt; 110 &gt; 113</x:v>
      </x:c>
      <x:c r="O185" s="41" t="str">
        <x:v>Report Root &gt; Continuous Tactical Decisions &gt; Reactive Tactical Priority &gt; 7 Mid-Range Pressure &gt; Pressure Pattern &gt; Pressure Pattern 1 &gt; Pressure Advance 1</x:v>
      </x:c>
    </x:row>
    <x:row r="186">
      <x:c r="A186" s="41" t="str">
        <x:v>T183</x:v>
      </x:c>
      <x:c r="B186" s="41" t="str">
        <x:v>P11</x:v>
      </x:c>
      <x:c r="C186" s="41" t="str">
        <x:v>M5</x:v>
      </x:c>
      <x:c r="D186" s="41" t="str">
        <x:v>T2</x:v>
      </x:c>
      <x:c r="E186" s="84" t="n">
        <x:v>5</x:v>
      </x:c>
      <x:c r="F186" s="84" t="n">
        <x:v>1</x:v>
      </x:c>
      <x:c r="G186" s="84" t="n">
        <x:v>3</x:v>
      </x:c>
      <x:c r="H186" s="41" t="str">
        <x:v>Trace Active Path</x:v>
      </x:c>
      <x:c r="I186" s="41" t="str">
        <x:v>Fisheye</x:v>
      </x:c>
      <x:c r="J186" s="84" t="n">
        <x:v>241</x:v>
      </x:c>
      <x:c r="K186" s="84" t="str">
        <x:v>vertical</x:v>
      </x:c>
      <x:c r="L186" s="84" t="n">
        <x:v>91</x:v>
      </x:c>
      <x:c r="M186" s="41" t="str">
        <x:v>Climb Ladder 1</x:v>
      </x:c>
      <x:c r="N186" s="41" t="str">
        <x:v>Path 1 &gt; 2 &gt; 3 &gt; 87 &gt; 89 &gt; 90 &gt; 91</x:v>
      </x:c>
      <x:c r="O186" s="41" t="str">
        <x:v>Report Root &gt; Continuous Tactical Decisions &gt; Reactive Tactical Priority &gt; 5 Vertical Pursuit &gt; Climb Approach &gt; Climb Route 1 &gt; Climb Ladder 1</x:v>
      </x:c>
    </x:row>
    <x:row r="187">
      <x:c r="A187" s="41" t="str">
        <x:v>T184</x:v>
      </x:c>
      <x:c r="B187" s="41" t="str">
        <x:v>P11</x:v>
      </x:c>
      <x:c r="C187" s="41" t="str">
        <x:v>M5</x:v>
      </x:c>
      <x:c r="D187" s="41" t="str">
        <x:v>T2</x:v>
      </x:c>
      <x:c r="E187" s="84" t="n">
        <x:v>5</x:v>
      </x:c>
      <x:c r="F187" s="84" t="n">
        <x:v>1</x:v>
      </x:c>
      <x:c r="G187" s="84" t="n">
        <x:v>4</x:v>
      </x:c>
      <x:c r="H187" s="41" t="str">
        <x:v>Trace Active Path</x:v>
      </x:c>
      <x:c r="I187" s="41" t="str">
        <x:v>Baseline</x:v>
      </x:c>
      <x:c r="J187" s="84" t="n">
        <x:v>241</x:v>
      </x:c>
      <x:c r="K187" s="84" t="str">
        <x:v>search</x:v>
      </x:c>
      <x:c r="L187" s="84" t="n">
        <x:v>156</x:v>
      </x:c>
      <x:c r="M187" s="41" t="str">
        <x:v>Search Movement 1</x:v>
      </x:c>
      <x:c r="N187" s="41" t="str">
        <x:v>Path 1 &gt; 2 &gt; 3 &gt; 152 &gt; 154 &gt; 155 &gt; 156</x:v>
      </x:c>
      <x:c r="O187" s="41" t="str">
        <x:v>Report Root &gt; Continuous Tactical Decisions &gt; Reactive Tactical Priority &gt; 9 Last-Known-Position Search &gt; Search Pattern &gt; Search Pattern 1 &gt; Search Movement 1</x:v>
      </x:c>
    </x:row>
    <x:row r="188">
      <x:c r="A188" s="41" t="str">
        <x:v>T185</x:v>
      </x:c>
      <x:c r="B188" s="41" t="str">
        <x:v>P11</x:v>
      </x:c>
      <x:c r="C188" s="41" t="str">
        <x:v>M5</x:v>
      </x:c>
      <x:c r="D188" s="41" t="str">
        <x:v>T2</x:v>
      </x:c>
      <x:c r="E188" s="84" t="n">
        <x:v>5</x:v>
      </x:c>
      <x:c r="F188" s="84" t="n">
        <x:v>1</x:v>
      </x:c>
      <x:c r="G188" s="84" t="n">
        <x:v>5</x:v>
      </x:c>
      <x:c r="H188" s="41" t="str">
        <x:v>Trace Active Path</x:v>
      </x:c>
      <x:c r="I188" s="41" t="str">
        <x:v>Collapse</x:v>
      </x:c>
      <x:c r="J188" s="84" t="n">
        <x:v>241</x:v>
      </x:c>
      <x:c r="K188" s="84" t="str">
        <x:v>obstacle</x:v>
      </x:c>
      <x:c r="L188" s="84" t="n">
        <x:v>83</x:v>
      </x:c>
      <x:c r="M188" s="41" t="str">
        <x:v>Jump Obstacle 1</x:v>
      </x:c>
      <x:c r="N188" s="41" t="str">
        <x:v>Path 1 &gt; 2 &gt; 3 &gt; 79 &gt; 81 &gt; 82 &gt; 83</x:v>
      </x:c>
      <x:c r="O188" s="41" t="str">
        <x:v>Report Root &gt; Continuous Tactical Decisions &gt; Reactive Tactical Priority &gt; 4 Obstacle Traversal &gt; Obstacle Solution &gt; Vault Route 1 &gt; Jump Obstacle 1</x:v>
      </x:c>
    </x:row>
    <x:row r="189">
      <x:c r="A189" s="41" t="str">
        <x:v>T186</x:v>
      </x:c>
      <x:c r="B189" s="41" t="str">
        <x:v>P11</x:v>
      </x:c>
      <x:c r="C189" s="41" t="str">
        <x:v>M5</x:v>
      </x:c>
      <x:c r="D189" s="41" t="str">
        <x:v>T2</x:v>
      </x:c>
      <x:c r="E189" s="84" t="n">
        <x:v>5</x:v>
      </x:c>
      <x:c r="F189" s="84" t="n">
        <x:v>1</x:v>
      </x:c>
      <x:c r="G189" s="84" t="n">
        <x:v>6</x:v>
      </x:c>
      <x:c r="H189" s="41" t="str">
        <x:v>Trace Active Path</x:v>
      </x:c>
      <x:c r="I189" s="41" t="str">
        <x:v>Compact</x:v>
      </x:c>
      <x:c r="J189" s="84" t="n">
        <x:v>241</x:v>
      </x:c>
      <x:c r="K189" s="84" t="str">
        <x:v>patrol</x:v>
      </x:c>
      <x:c r="L189" s="84" t="n">
        <x:v>201</x:v>
      </x:c>
      <x:c r="M189" s="41" t="str">
        <x:v>Observe Patrol Point 1</x:v>
      </x:c>
      <x:c r="N189" s="41" t="str">
        <x:v>Path 1 &gt; 2 &gt; 3 &gt; 193 &gt; 196 &gt; 197 &gt; 201</x:v>
      </x:c>
      <x:c r="O189" s="41" t="str">
        <x:v>Report Root &gt; Continuous Tactical Decisions &gt; Reactive Tactical Priority &gt; 11 Layered Patrol &gt; Patrol Route Choice &gt; Patrol Route 1 &gt; Observe Patrol Point 1</x:v>
      </x:c>
    </x:row>
    <x:row r="190">
      <x:c r="A190" s="41" t="str">
        <x:v>T187</x:v>
      </x:c>
      <x:c r="B190" s="41" t="str">
        <x:v>P11</x:v>
      </x:c>
      <x:c r="C190" s="41" t="str">
        <x:v>M5</x:v>
      </x:c>
      <x:c r="D190" s="41" t="str">
        <x:v>T2</x:v>
      </x:c>
      <x:c r="E190" s="84" t="n">
        <x:v>5</x:v>
      </x:c>
      <x:c r="F190" s="84" t="n">
        <x:v>2</x:v>
      </x:c>
      <x:c r="G190" s="84" t="n">
        <x:v>1</x:v>
      </x:c>
      <x:c r="H190" s="41" t="str">
        <x:v>Edit Decorator</x:v>
      </x:c>
      <x:c r="I190" s="41" t="str">
        <x:v>Search</x:v>
      </x:c>
      <x:c r="J190" s="84" t="n">
        <x:v>241</x:v>
      </x:c>
      <x:c r="K190" s="84" t="str">
        <x:v>chase</x:v>
      </x:c>
      <x:c r="L190" s="84" t="n">
        <x:v>133</x:v>
      </x:c>
      <x:c r="M190" s="41" t="str">
        <x:v>Chase Step Limit 1</x:v>
      </x:c>
      <x:c r="N190" s="41" t="str">
        <x:v>Owner #130 Chase Movement 1; time_limit; 0.8 -&gt; 0.9</x:v>
      </x:c>
      <x:c r="O190" s="41" t="str">
        <x:v>Set Decorator #133 Duration to 0.9; no other change</x:v>
      </x:c>
    </x:row>
    <x:row r="191">
      <x:c r="A191" s="41" t="str">
        <x:v>T188</x:v>
      </x:c>
      <x:c r="B191" s="41" t="str">
        <x:v>P11</x:v>
      </x:c>
      <x:c r="C191" s="41" t="str">
        <x:v>M5</x:v>
      </x:c>
      <x:c r="D191" s="41" t="str">
        <x:v>T2</x:v>
      </x:c>
      <x:c r="E191" s="84" t="n">
        <x:v>5</x:v>
      </x:c>
      <x:c r="F191" s="84" t="n">
        <x:v>2</x:v>
      </x:c>
      <x:c r="G191" s="84" t="n">
        <x:v>2</x:v>
      </x:c>
      <x:c r="H191" s="41" t="str">
        <x:v>Edit Decorator</x:v>
      </x:c>
      <x:c r="I191" s="41" t="str">
        <x:v>Minimap</x:v>
      </x:c>
      <x:c r="J191" s="84" t="n">
        <x:v>241</x:v>
      </x:c>
      <x:c r="K191" s="84" t="str">
        <x:v>search</x:v>
      </x:c>
      <x:c r="L191" s="84" t="n">
        <x:v>159</x:v>
      </x:c>
      <x:c r="M191" s="41" t="str">
        <x:v>Search Leg Limit 1</x:v>
      </x:c>
      <x:c r="N191" s="41" t="str">
        <x:v>Owner #156 Search Movement 1; time_limit; 1.25 -&gt; 1.35</x:v>
      </x:c>
      <x:c r="O191" s="41" t="str">
        <x:v>Set Decorator #159 Duration to 1.35; no other change</x:v>
      </x:c>
    </x:row>
    <x:row r="192">
      <x:c r="A192" s="41" t="str">
        <x:v>T189</x:v>
      </x:c>
      <x:c r="B192" s="41" t="str">
        <x:v>P11</x:v>
      </x:c>
      <x:c r="C192" s="41" t="str">
        <x:v>M5</x:v>
      </x:c>
      <x:c r="D192" s="41" t="str">
        <x:v>T2</x:v>
      </x:c>
      <x:c r="E192" s="84" t="n">
        <x:v>5</x:v>
      </x:c>
      <x:c r="F192" s="84" t="n">
        <x:v>2</x:v>
      </x:c>
      <x:c r="G192" s="84" t="n">
        <x:v>3</x:v>
      </x:c>
      <x:c r="H192" s="41" t="str">
        <x:v>Edit Decorator</x:v>
      </x:c>
      <x:c r="I192" s="41" t="str">
        <x:v>Fisheye</x:v>
      </x:c>
      <x:c r="J192" s="84" t="n">
        <x:v>241</x:v>
      </x:c>
      <x:c r="K192" s="84" t="str">
        <x:v>pressure</x:v>
      </x:c>
      <x:c r="L192" s="84" t="n">
        <x:v>114</x:v>
      </x:c>
      <x:c r="M192" s="41" t="str">
        <x:v>Pressure Cooldown 1</x:v>
      </x:c>
      <x:c r="N192" s="41" t="str">
        <x:v>Owner #111 Pressure Reposition 1; cooldown; 0.35 -&gt; 0.45</x:v>
      </x:c>
      <x:c r="O192" s="41" t="str">
        <x:v>Set Decorator #114 Duration to 0.45; no other change</x:v>
      </x:c>
    </x:row>
    <x:row r="193">
      <x:c r="A193" s="41" t="str">
        <x:v>T190</x:v>
      </x:c>
      <x:c r="B193" s="41" t="str">
        <x:v>P11</x:v>
      </x:c>
      <x:c r="C193" s="41" t="str">
        <x:v>M5</x:v>
      </x:c>
      <x:c r="D193" s="41" t="str">
        <x:v>T2</x:v>
      </x:c>
      <x:c r="E193" s="84" t="n">
        <x:v>5</x:v>
      </x:c>
      <x:c r="F193" s="84" t="n">
        <x:v>2</x:v>
      </x:c>
      <x:c r="G193" s="84" t="n">
        <x:v>4</x:v>
      </x:c>
      <x:c r="H193" s="41" t="str">
        <x:v>Edit Decorator</x:v>
      </x:c>
      <x:c r="I193" s="41" t="str">
        <x:v>Baseline</x:v>
      </x:c>
      <x:c r="J193" s="84" t="n">
        <x:v>241</x:v>
      </x:c>
      <x:c r="K193" s="84" t="str">
        <x:v>return</x:v>
      </x:c>
      <x:c r="L193" s="84" t="n">
        <x:v>182</x:v>
      </x:c>
      <x:c r="M193" s="41" t="str">
        <x:v>Return Step Limit 1</x:v>
      </x:c>
      <x:c r="N193" s="41" t="str">
        <x:v>Owner #179 Return Movement 1; time_limit; 0.9 -&gt; 1</x:v>
      </x:c>
      <x:c r="O193" s="41" t="str">
        <x:v>Set Decorator #182 Duration to 1; no other change</x:v>
      </x:c>
    </x:row>
    <x:row r="194">
      <x:c r="A194" s="41" t="str">
        <x:v>T191</x:v>
      </x:c>
      <x:c r="B194" s="41" t="str">
        <x:v>P11</x:v>
      </x:c>
      <x:c r="C194" s="41" t="str">
        <x:v>M5</x:v>
      </x:c>
      <x:c r="D194" s="41" t="str">
        <x:v>T2</x:v>
      </x:c>
      <x:c r="E194" s="84" t="n">
        <x:v>5</x:v>
      </x:c>
      <x:c r="F194" s="84" t="n">
        <x:v>2</x:v>
      </x:c>
      <x:c r="G194" s="84" t="n">
        <x:v>5</x:v>
      </x:c>
      <x:c r="H194" s="41" t="str">
        <x:v>Edit Decorator</x:v>
      </x:c>
      <x:c r="I194" s="41" t="str">
        <x:v>Collapse</x:v>
      </x:c>
      <x:c r="J194" s="84" t="n">
        <x:v>241</x:v>
      </x:c>
      <x:c r="K194" s="84" t="str">
        <x:v>defense</x:v>
      </x:c>
      <x:c r="L194" s="84" t="n">
        <x:v>31</x:v>
      </x:c>
      <x:c r="M194" s="41" t="str">
        <x:v>Defense Cooldown 1</x:v>
      </x:c>
      <x:c r="N194" s="41" t="str">
        <x:v>Owner #29 Dodge Left; cooldown; 0.45 -&gt; 0.55</x:v>
      </x:c>
      <x:c r="O194" s="41" t="str">
        <x:v>Set Decorator #31 Duration to 0.55; no other change</x:v>
      </x:c>
    </x:row>
    <x:row r="195">
      <x:c r="A195" s="41" t="str">
        <x:v>T192</x:v>
      </x:c>
      <x:c r="B195" s="41" t="str">
        <x:v>P11</x:v>
      </x:c>
      <x:c r="C195" s="41" t="str">
        <x:v>M5</x:v>
      </x:c>
      <x:c r="D195" s="41" t="str">
        <x:v>T2</x:v>
      </x:c>
      <x:c r="E195" s="84" t="n">
        <x:v>5</x:v>
      </x:c>
      <x:c r="F195" s="84" t="n">
        <x:v>2</x:v>
      </x:c>
      <x:c r="G195" s="84" t="n">
        <x:v>6</x:v>
      </x:c>
      <x:c r="H195" s="41" t="str">
        <x:v>Edit Decorator</x:v>
      </x:c>
      <x:c r="I195" s="41" t="str">
        <x:v>Compact</x:v>
      </x:c>
      <x:c r="J195" s="84" t="n">
        <x:v>241</x:v>
      </x:c>
      <x:c r="K195" s="84" t="str">
        <x:v>patrol</x:v>
      </x:c>
      <x:c r="L195" s="84" t="n">
        <x:v>202</x:v>
      </x:c>
      <x:c r="M195" s="41" t="str">
        <x:v>Patrol Leg Limit 1</x:v>
      </x:c>
      <x:c r="N195" s="41" t="str">
        <x:v>Owner #199 Patrol Movement 1; time_limit; 1.5 -&gt; 1.6</x:v>
      </x:c>
      <x:c r="O195" s="41" t="str">
        <x:v>Set Decorator #202 Duration to 1.6; no other change</x:v>
      </x:c>
    </x:row>
    <x:row r="196">
      <x:c r="A196" s="41" t="str">
        <x:v>T193</x:v>
      </x:c>
      <x:c r="B196" s="41" t="str">
        <x:v>P11</x:v>
      </x:c>
      <x:c r="C196" s="41" t="str">
        <x:v>M5</x:v>
      </x:c>
      <x:c r="D196" s="41" t="str">
        <x:v>T2</x:v>
      </x:c>
      <x:c r="E196" s="84" t="n">
        <x:v>5</x:v>
      </x:c>
      <x:c r="F196" s="84" t="n">
        <x:v>3</x:v>
      </x:c>
      <x:c r="G196" s="84" t="n">
        <x:v>1</x:v>
      </x:c>
      <x:c r="H196" s="41" t="str">
        <x:v>Locate Action</x:v>
      </x:c>
      <x:c r="I196" s="41" t="str">
        <x:v>Search</x:v>
      </x:c>
      <x:c r="J196" s="84" t="n">
        <x:v>241</x:v>
      </x:c>
      <x:c r="K196" s="84" t="str">
        <x:v>ranged</x:v>
      </x:c>
      <x:c r="L196" s="84" t="n">
        <x:v>101</x:v>
      </x:c>
      <x:c r="M196" s="41" t="str">
        <x:v>Fire Projectile 1</x:v>
      </x:c>
      <x:c r="N196" s="41" t="str">
        <x:v>Path 1 &gt; 2 &gt; 3 &gt; 95 &gt; 97 &gt; 98 &gt; 101</x:v>
      </x:c>
      <x:c r="O196" s="41" t="str">
        <x:v>Select #101 Fire Projectile 1</x:v>
      </x:c>
    </x:row>
    <x:row r="197">
      <x:c r="A197" s="41" t="str">
        <x:v>T194</x:v>
      </x:c>
      <x:c r="B197" s="41" t="str">
        <x:v>P11</x:v>
      </x:c>
      <x:c r="C197" s="41" t="str">
        <x:v>M5</x:v>
      </x:c>
      <x:c r="D197" s="41" t="str">
        <x:v>T2</x:v>
      </x:c>
      <x:c r="E197" s="84" t="n">
        <x:v>5</x:v>
      </x:c>
      <x:c r="F197" s="84" t="n">
        <x:v>3</x:v>
      </x:c>
      <x:c r="G197" s="84" t="n">
        <x:v>2</x:v>
      </x:c>
      <x:c r="H197" s="41" t="str">
        <x:v>Locate Action</x:v>
      </x:c>
      <x:c r="I197" s="41" t="str">
        <x:v>Minimap</x:v>
      </x:c>
      <x:c r="J197" s="84" t="n">
        <x:v>241</x:v>
      </x:c>
      <x:c r="K197" s="84" t="str">
        <x:v>pressure</x:v>
      </x:c>
      <x:c r="L197" s="84" t="n">
        <x:v>113</x:v>
      </x:c>
      <x:c r="M197" s="41" t="str">
        <x:v>Pressure Advance 1</x:v>
      </x:c>
      <x:c r="N197" s="41" t="str">
        <x:v>Path 1 &gt; 2 &gt; 3 &gt; 107 &gt; 109 &gt; 110 &gt; 113</x:v>
      </x:c>
      <x:c r="O197" s="41" t="str">
        <x:v>Select #113 Pressure Advance 1</x:v>
      </x:c>
    </x:row>
    <x:row r="198">
      <x:c r="A198" s="41" t="str">
        <x:v>T195</x:v>
      </x:c>
      <x:c r="B198" s="41" t="str">
        <x:v>P11</x:v>
      </x:c>
      <x:c r="C198" s="41" t="str">
        <x:v>M5</x:v>
      </x:c>
      <x:c r="D198" s="41" t="str">
        <x:v>T2</x:v>
      </x:c>
      <x:c r="E198" s="84" t="n">
        <x:v>5</x:v>
      </x:c>
      <x:c r="F198" s="84" t="n">
        <x:v>3</x:v>
      </x:c>
      <x:c r="G198" s="84" t="n">
        <x:v>3</x:v>
      </x:c>
      <x:c r="H198" s="41" t="str">
        <x:v>Locate Action</x:v>
      </x:c>
      <x:c r="I198" s="41" t="str">
        <x:v>Fisheye</x:v>
      </x:c>
      <x:c r="J198" s="84" t="n">
        <x:v>241</x:v>
      </x:c>
      <x:c r="K198" s="84" t="str">
        <x:v>vertical</x:v>
      </x:c>
      <x:c r="L198" s="84" t="n">
        <x:v>91</x:v>
      </x:c>
      <x:c r="M198" s="41" t="str">
        <x:v>Climb Ladder 1</x:v>
      </x:c>
      <x:c r="N198" s="41" t="str">
        <x:v>Path 1 &gt; 2 &gt; 3 &gt; 87 &gt; 89 &gt; 90 &gt; 91</x:v>
      </x:c>
      <x:c r="O198" s="41" t="str">
        <x:v>Select #91 Climb Ladder 1</x:v>
      </x:c>
    </x:row>
    <x:row r="199">
      <x:c r="A199" s="41" t="str">
        <x:v>T196</x:v>
      </x:c>
      <x:c r="B199" s="41" t="str">
        <x:v>P11</x:v>
      </x:c>
      <x:c r="C199" s="41" t="str">
        <x:v>M5</x:v>
      </x:c>
      <x:c r="D199" s="41" t="str">
        <x:v>T2</x:v>
      </x:c>
      <x:c r="E199" s="84" t="n">
        <x:v>5</x:v>
      </x:c>
      <x:c r="F199" s="84" t="n">
        <x:v>3</x:v>
      </x:c>
      <x:c r="G199" s="84" t="n">
        <x:v>4</x:v>
      </x:c>
      <x:c r="H199" s="41" t="str">
        <x:v>Locate Action</x:v>
      </x:c>
      <x:c r="I199" s="41" t="str">
        <x:v>Baseline</x:v>
      </x:c>
      <x:c r="J199" s="84" t="n">
        <x:v>241</x:v>
      </x:c>
      <x:c r="K199" s="84" t="str">
        <x:v>search</x:v>
      </x:c>
      <x:c r="L199" s="84" t="n">
        <x:v>156</x:v>
      </x:c>
      <x:c r="M199" s="41" t="str">
        <x:v>Search Movement 1</x:v>
      </x:c>
      <x:c r="N199" s="41" t="str">
        <x:v>Path 1 &gt; 2 &gt; 3 &gt; 152 &gt; 154 &gt; 155 &gt; 156</x:v>
      </x:c>
      <x:c r="O199" s="41" t="str">
        <x:v>Select #156 Search Movement 1</x:v>
      </x:c>
    </x:row>
    <x:row r="200">
      <x:c r="A200" s="41" t="str">
        <x:v>T197</x:v>
      </x:c>
      <x:c r="B200" s="41" t="str">
        <x:v>P11</x:v>
      </x:c>
      <x:c r="C200" s="41" t="str">
        <x:v>M5</x:v>
      </x:c>
      <x:c r="D200" s="41" t="str">
        <x:v>T2</x:v>
      </x:c>
      <x:c r="E200" s="84" t="n">
        <x:v>5</x:v>
      </x:c>
      <x:c r="F200" s="84" t="n">
        <x:v>3</x:v>
      </x:c>
      <x:c r="G200" s="84" t="n">
        <x:v>5</x:v>
      </x:c>
      <x:c r="H200" s="41" t="str">
        <x:v>Locate Action</x:v>
      </x:c>
      <x:c r="I200" s="41" t="str">
        <x:v>Collapse</x:v>
      </x:c>
      <x:c r="J200" s="84" t="n">
        <x:v>241</x:v>
      </x:c>
      <x:c r="K200" s="84" t="str">
        <x:v>obstacle</x:v>
      </x:c>
      <x:c r="L200" s="84" t="n">
        <x:v>83</x:v>
      </x:c>
      <x:c r="M200" s="41" t="str">
        <x:v>Jump Obstacle 1</x:v>
      </x:c>
      <x:c r="N200" s="41" t="str">
        <x:v>Path 1 &gt; 2 &gt; 3 &gt; 79 &gt; 81 &gt; 82 &gt; 83</x:v>
      </x:c>
      <x:c r="O200" s="41" t="str">
        <x:v>Select #83 Jump Obstacle 1</x:v>
      </x:c>
    </x:row>
    <x:row r="201">
      <x:c r="A201" s="41" t="str">
        <x:v>T198</x:v>
      </x:c>
      <x:c r="B201" s="41" t="str">
        <x:v>P11</x:v>
      </x:c>
      <x:c r="C201" s="41" t="str">
        <x:v>M5</x:v>
      </x:c>
      <x:c r="D201" s="41" t="str">
        <x:v>T2</x:v>
      </x:c>
      <x:c r="E201" s="84" t="n">
        <x:v>5</x:v>
      </x:c>
      <x:c r="F201" s="84" t="n">
        <x:v>3</x:v>
      </x:c>
      <x:c r="G201" s="84" t="n">
        <x:v>6</x:v>
      </x:c>
      <x:c r="H201" s="41" t="str">
        <x:v>Locate Action</x:v>
      </x:c>
      <x:c r="I201" s="41" t="str">
        <x:v>Compact</x:v>
      </x:c>
      <x:c r="J201" s="84" t="n">
        <x:v>241</x:v>
      </x:c>
      <x:c r="K201" s="84" t="str">
        <x:v>patrol</x:v>
      </x:c>
      <x:c r="L201" s="84" t="n">
        <x:v>201</x:v>
      </x:c>
      <x:c r="M201" s="41" t="str">
        <x:v>Observe Patrol Point 1</x:v>
      </x:c>
      <x:c r="N201" s="41" t="str">
        <x:v>Path 1 &gt; 2 &gt; 3 &gt; 193 &gt; 196 &gt; 197 &gt; 201</x:v>
      </x:c>
      <x:c r="O201" s="41" t="str">
        <x:v>Select #201 Observe Patrol Point 1</x:v>
      </x:c>
    </x:row>
    <x:row r="202">
      <x:c r="A202" s="41" t="str">
        <x:v>T199</x:v>
      </x:c>
      <x:c r="B202" s="41" t="str">
        <x:v>P12</x:v>
      </x:c>
      <x:c r="C202" s="41" t="str">
        <x:v>M6</x:v>
      </x:c>
      <x:c r="D202" s="41" t="str">
        <x:v>T3</x:v>
      </x:c>
      <x:c r="E202" s="84" t="n">
        <x:v>6</x:v>
      </x:c>
      <x:c r="F202" s="84" t="n">
        <x:v>1</x:v>
      </x:c>
      <x:c r="G202" s="84" t="n">
        <x:v>1</x:v>
      </x:c>
      <x:c r="H202" s="41" t="str">
        <x:v>Edit Decorator</x:v>
      </x:c>
      <x:c r="I202" s="41" t="str">
        <x:v>Minimap</x:v>
      </x:c>
      <x:c r="J202" s="84" t="n">
        <x:v>241</x:v>
      </x:c>
      <x:c r="K202" s="84" t="str">
        <x:v>return</x:v>
      </x:c>
      <x:c r="L202" s="84" t="n">
        <x:v>182</x:v>
      </x:c>
      <x:c r="M202" s="41" t="str">
        <x:v>Return Step Limit 1</x:v>
      </x:c>
      <x:c r="N202" s="41" t="str">
        <x:v>Owner #179 Return Movement 1; time_limit; 0.9 -&gt; 1</x:v>
      </x:c>
      <x:c r="O202" s="41" t="str">
        <x:v>Set Decorator #182 Duration to 1; no other change</x:v>
      </x:c>
    </x:row>
    <x:row r="203">
      <x:c r="A203" s="41" t="str">
        <x:v>T200</x:v>
      </x:c>
      <x:c r="B203" s="41" t="str">
        <x:v>P12</x:v>
      </x:c>
      <x:c r="C203" s="41" t="str">
        <x:v>M6</x:v>
      </x:c>
      <x:c r="D203" s="41" t="str">
        <x:v>T3</x:v>
      </x:c>
      <x:c r="E203" s="84" t="n">
        <x:v>6</x:v>
      </x:c>
      <x:c r="F203" s="84" t="n">
        <x:v>1</x:v>
      </x:c>
      <x:c r="G203" s="84" t="n">
        <x:v>2</x:v>
      </x:c>
      <x:c r="H203" s="41" t="str">
        <x:v>Edit Decorator</x:v>
      </x:c>
      <x:c r="I203" s="41" t="str">
        <x:v>Baseline</x:v>
      </x:c>
      <x:c r="J203" s="84" t="n">
        <x:v>241</x:v>
      </x:c>
      <x:c r="K203" s="84" t="str">
        <x:v>patrol</x:v>
      </x:c>
      <x:c r="L203" s="84" t="n">
        <x:v>202</x:v>
      </x:c>
      <x:c r="M203" s="41" t="str">
        <x:v>Patrol Leg Limit 1</x:v>
      </x:c>
      <x:c r="N203" s="41" t="str">
        <x:v>Owner #199 Patrol Movement 1; time_limit; 1.5 -&gt; 1.6</x:v>
      </x:c>
      <x:c r="O203" s="41" t="str">
        <x:v>Set Decorator #202 Duration to 1.6; no other change</x:v>
      </x:c>
    </x:row>
    <x:row r="204">
      <x:c r="A204" s="41" t="str">
        <x:v>T201</x:v>
      </x:c>
      <x:c r="B204" s="41" t="str">
        <x:v>P12</x:v>
      </x:c>
      <x:c r="C204" s="41" t="str">
        <x:v>M6</x:v>
      </x:c>
      <x:c r="D204" s="41" t="str">
        <x:v>T3</x:v>
      </x:c>
      <x:c r="E204" s="84" t="n">
        <x:v>6</x:v>
      </x:c>
      <x:c r="F204" s="84" t="n">
        <x:v>1</x:v>
      </x:c>
      <x:c r="G204" s="84" t="n">
        <x:v>3</x:v>
      </x:c>
      <x:c r="H204" s="41" t="str">
        <x:v>Edit Decorator</x:v>
      </x:c>
      <x:c r="I204" s="41" t="str">
        <x:v>Search</x:v>
      </x:c>
      <x:c r="J204" s="84" t="n">
        <x:v>241</x:v>
      </x:c>
      <x:c r="K204" s="84" t="str">
        <x:v>search</x:v>
      </x:c>
      <x:c r="L204" s="84" t="n">
        <x:v>159</x:v>
      </x:c>
      <x:c r="M204" s="41" t="str">
        <x:v>Search Leg Limit 1</x:v>
      </x:c>
      <x:c r="N204" s="41" t="str">
        <x:v>Owner #156 Search Movement 1; time_limit; 1.25 -&gt; 1.35</x:v>
      </x:c>
      <x:c r="O204" s="41" t="str">
        <x:v>Set Decorator #159 Duration to 1.35; no other change</x:v>
      </x:c>
    </x:row>
    <x:row r="205">
      <x:c r="A205" s="41" t="str">
        <x:v>T202</x:v>
      </x:c>
      <x:c r="B205" s="41" t="str">
        <x:v>P12</x:v>
      </x:c>
      <x:c r="C205" s="41" t="str">
        <x:v>M6</x:v>
      </x:c>
      <x:c r="D205" s="41" t="str">
        <x:v>T3</x:v>
      </x:c>
      <x:c r="E205" s="84" t="n">
        <x:v>6</x:v>
      </x:c>
      <x:c r="F205" s="84" t="n">
        <x:v>1</x:v>
      </x:c>
      <x:c r="G205" s="84" t="n">
        <x:v>4</x:v>
      </x:c>
      <x:c r="H205" s="41" t="str">
        <x:v>Edit Decorator</x:v>
      </x:c>
      <x:c r="I205" s="41" t="str">
        <x:v>Compact</x:v>
      </x:c>
      <x:c r="J205" s="84" t="n">
        <x:v>241</x:v>
      </x:c>
      <x:c r="K205" s="84" t="str">
        <x:v>defense</x:v>
      </x:c>
      <x:c r="L205" s="84" t="n">
        <x:v>31</x:v>
      </x:c>
      <x:c r="M205" s="41" t="str">
        <x:v>Defense Cooldown 1</x:v>
      </x:c>
      <x:c r="N205" s="41" t="str">
        <x:v>Owner #29 Dodge Left; cooldown; 0.45 -&gt; 0.55</x:v>
      </x:c>
      <x:c r="O205" s="41" t="str">
        <x:v>Set Decorator #31 Duration to 0.55; no other change</x:v>
      </x:c>
    </x:row>
    <x:row r="206">
      <x:c r="A206" s="41" t="str">
        <x:v>T203</x:v>
      </x:c>
      <x:c r="B206" s="41" t="str">
        <x:v>P12</x:v>
      </x:c>
      <x:c r="C206" s="41" t="str">
        <x:v>M6</x:v>
      </x:c>
      <x:c r="D206" s="41" t="str">
        <x:v>T3</x:v>
      </x:c>
      <x:c r="E206" s="84" t="n">
        <x:v>6</x:v>
      </x:c>
      <x:c r="F206" s="84" t="n">
        <x:v>1</x:v>
      </x:c>
      <x:c r="G206" s="84" t="n">
        <x:v>5</x:v>
      </x:c>
      <x:c r="H206" s="41" t="str">
        <x:v>Edit Decorator</x:v>
      </x:c>
      <x:c r="I206" s="41" t="str">
        <x:v>Fisheye</x:v>
      </x:c>
      <x:c r="J206" s="84" t="n">
        <x:v>241</x:v>
      </x:c>
      <x:c r="K206" s="84" t="str">
        <x:v>chase</x:v>
      </x:c>
      <x:c r="L206" s="84" t="n">
        <x:v>133</x:v>
      </x:c>
      <x:c r="M206" s="41" t="str">
        <x:v>Chase Step Limit 1</x:v>
      </x:c>
      <x:c r="N206" s="41" t="str">
        <x:v>Owner #130 Chase Movement 1; time_limit; 0.8 -&gt; 0.9</x:v>
      </x:c>
      <x:c r="O206" s="41" t="str">
        <x:v>Set Decorator #133 Duration to 0.9; no other change</x:v>
      </x:c>
    </x:row>
    <x:row r="207">
      <x:c r="A207" s="41" t="str">
        <x:v>T204</x:v>
      </x:c>
      <x:c r="B207" s="41" t="str">
        <x:v>P12</x:v>
      </x:c>
      <x:c r="C207" s="41" t="str">
        <x:v>M6</x:v>
      </x:c>
      <x:c r="D207" s="41" t="str">
        <x:v>T3</x:v>
      </x:c>
      <x:c r="E207" s="84" t="n">
        <x:v>6</x:v>
      </x:c>
      <x:c r="F207" s="84" t="n">
        <x:v>1</x:v>
      </x:c>
      <x:c r="G207" s="84" t="n">
        <x:v>6</x:v>
      </x:c>
      <x:c r="H207" s="41" t="str">
        <x:v>Edit Decorator</x:v>
      </x:c>
      <x:c r="I207" s="41" t="str">
        <x:v>Collapse</x:v>
      </x:c>
      <x:c r="J207" s="84" t="n">
        <x:v>241</x:v>
      </x:c>
      <x:c r="K207" s="84" t="str">
        <x:v>pressure</x:v>
      </x:c>
      <x:c r="L207" s="84" t="n">
        <x:v>114</x:v>
      </x:c>
      <x:c r="M207" s="41" t="str">
        <x:v>Pressure Cooldown 1</x:v>
      </x:c>
      <x:c r="N207" s="41" t="str">
        <x:v>Owner #111 Pressure Reposition 1; cooldown; 0.35 -&gt; 0.45</x:v>
      </x:c>
      <x:c r="O207" s="41" t="str">
        <x:v>Set Decorator #114 Duration to 0.45; no other change</x:v>
      </x:c>
    </x:row>
    <x:row r="208">
      <x:c r="A208" s="41" t="str">
        <x:v>T205</x:v>
      </x:c>
      <x:c r="B208" s="41" t="str">
        <x:v>P12</x:v>
      </x:c>
      <x:c r="C208" s="41" t="str">
        <x:v>M6</x:v>
      </x:c>
      <x:c r="D208" s="41" t="str">
        <x:v>T3</x:v>
      </x:c>
      <x:c r="E208" s="84" t="n">
        <x:v>6</x:v>
      </x:c>
      <x:c r="F208" s="84" t="n">
        <x:v>2</x:v>
      </x:c>
      <x:c r="G208" s="84" t="n">
        <x:v>1</x:v>
      </x:c>
      <x:c r="H208" s="41" t="str">
        <x:v>Locate Action</x:v>
      </x:c>
      <x:c r="I208" s="41" t="str">
        <x:v>Minimap</x:v>
      </x:c>
      <x:c r="J208" s="84" t="n">
        <x:v>241</x:v>
      </x:c>
      <x:c r="K208" s="84" t="str">
        <x:v>search</x:v>
      </x:c>
      <x:c r="L208" s="84" t="n">
        <x:v>156</x:v>
      </x:c>
      <x:c r="M208" s="41" t="str">
        <x:v>Search Movement 1</x:v>
      </x:c>
      <x:c r="N208" s="41" t="str">
        <x:v>Path 1 &gt; 2 &gt; 3 &gt; 152 &gt; 154 &gt; 155 &gt; 156</x:v>
      </x:c>
      <x:c r="O208" s="41" t="str">
        <x:v>Select #156 Search Movement 1</x:v>
      </x:c>
    </x:row>
    <x:row r="209">
      <x:c r="A209" s="41" t="str">
        <x:v>T206</x:v>
      </x:c>
      <x:c r="B209" s="41" t="str">
        <x:v>P12</x:v>
      </x:c>
      <x:c r="C209" s="41" t="str">
        <x:v>M6</x:v>
      </x:c>
      <x:c r="D209" s="41" t="str">
        <x:v>T3</x:v>
      </x:c>
      <x:c r="E209" s="84" t="n">
        <x:v>6</x:v>
      </x:c>
      <x:c r="F209" s="84" t="n">
        <x:v>2</x:v>
      </x:c>
      <x:c r="G209" s="84" t="n">
        <x:v>2</x:v>
      </x:c>
      <x:c r="H209" s="41" t="str">
        <x:v>Locate Action</x:v>
      </x:c>
      <x:c r="I209" s="41" t="str">
        <x:v>Baseline</x:v>
      </x:c>
      <x:c r="J209" s="84" t="n">
        <x:v>241</x:v>
      </x:c>
      <x:c r="K209" s="84" t="str">
        <x:v>patrol</x:v>
      </x:c>
      <x:c r="L209" s="84" t="n">
        <x:v>201</x:v>
      </x:c>
      <x:c r="M209" s="41" t="str">
        <x:v>Observe Patrol Point 1</x:v>
      </x:c>
      <x:c r="N209" s="41" t="str">
        <x:v>Path 1 &gt; 2 &gt; 3 &gt; 193 &gt; 196 &gt; 197 &gt; 201</x:v>
      </x:c>
      <x:c r="O209" s="41" t="str">
        <x:v>Select #201 Observe Patrol Point 1</x:v>
      </x:c>
    </x:row>
    <x:row r="210">
      <x:c r="A210" s="41" t="str">
        <x:v>T207</x:v>
      </x:c>
      <x:c r="B210" s="41" t="str">
        <x:v>P12</x:v>
      </x:c>
      <x:c r="C210" s="41" t="str">
        <x:v>M6</x:v>
      </x:c>
      <x:c r="D210" s="41" t="str">
        <x:v>T3</x:v>
      </x:c>
      <x:c r="E210" s="84" t="n">
        <x:v>6</x:v>
      </x:c>
      <x:c r="F210" s="84" t="n">
        <x:v>2</x:v>
      </x:c>
      <x:c r="G210" s="84" t="n">
        <x:v>3</x:v>
      </x:c>
      <x:c r="H210" s="41" t="str">
        <x:v>Locate Action</x:v>
      </x:c>
      <x:c r="I210" s="41" t="str">
        <x:v>Search</x:v>
      </x:c>
      <x:c r="J210" s="84" t="n">
        <x:v>241</x:v>
      </x:c>
      <x:c r="K210" s="84" t="str">
        <x:v>pressure</x:v>
      </x:c>
      <x:c r="L210" s="84" t="n">
        <x:v>113</x:v>
      </x:c>
      <x:c r="M210" s="41" t="str">
        <x:v>Pressure Advance 1</x:v>
      </x:c>
      <x:c r="N210" s="41" t="str">
        <x:v>Path 1 &gt; 2 &gt; 3 &gt; 107 &gt; 109 &gt; 110 &gt; 113</x:v>
      </x:c>
      <x:c r="O210" s="41" t="str">
        <x:v>Select #113 Pressure Advance 1</x:v>
      </x:c>
    </x:row>
    <x:row r="211">
      <x:c r="A211" s="41" t="str">
        <x:v>T208</x:v>
      </x:c>
      <x:c r="B211" s="41" t="str">
        <x:v>P12</x:v>
      </x:c>
      <x:c r="C211" s="41" t="str">
        <x:v>M6</x:v>
      </x:c>
      <x:c r="D211" s="41" t="str">
        <x:v>T3</x:v>
      </x:c>
      <x:c r="E211" s="84" t="n">
        <x:v>6</x:v>
      </x:c>
      <x:c r="F211" s="84" t="n">
        <x:v>2</x:v>
      </x:c>
      <x:c r="G211" s="84" t="n">
        <x:v>4</x:v>
      </x:c>
      <x:c r="H211" s="41" t="str">
        <x:v>Locate Action</x:v>
      </x:c>
      <x:c r="I211" s="41" t="str">
        <x:v>Compact</x:v>
      </x:c>
      <x:c r="J211" s="84" t="n">
        <x:v>241</x:v>
      </x:c>
      <x:c r="K211" s="84" t="str">
        <x:v>obstacle</x:v>
      </x:c>
      <x:c r="L211" s="84" t="n">
        <x:v>83</x:v>
      </x:c>
      <x:c r="M211" s="41" t="str">
        <x:v>Jump Obstacle 1</x:v>
      </x:c>
      <x:c r="N211" s="41" t="str">
        <x:v>Path 1 &gt; 2 &gt; 3 &gt; 79 &gt; 81 &gt; 82 &gt; 83</x:v>
      </x:c>
      <x:c r="O211" s="41" t="str">
        <x:v>Select #83 Jump Obstacle 1</x:v>
      </x:c>
    </x:row>
    <x:row r="212">
      <x:c r="A212" s="41" t="str">
        <x:v>T209</x:v>
      </x:c>
      <x:c r="B212" s="41" t="str">
        <x:v>P12</x:v>
      </x:c>
      <x:c r="C212" s="41" t="str">
        <x:v>M6</x:v>
      </x:c>
      <x:c r="D212" s="41" t="str">
        <x:v>T3</x:v>
      </x:c>
      <x:c r="E212" s="84" t="n">
        <x:v>6</x:v>
      </x:c>
      <x:c r="F212" s="84" t="n">
        <x:v>2</x:v>
      </x:c>
      <x:c r="G212" s="84" t="n">
        <x:v>5</x:v>
      </x:c>
      <x:c r="H212" s="41" t="str">
        <x:v>Locate Action</x:v>
      </x:c>
      <x:c r="I212" s="41" t="str">
        <x:v>Fisheye</x:v>
      </x:c>
      <x:c r="J212" s="84" t="n">
        <x:v>241</x:v>
      </x:c>
      <x:c r="K212" s="84" t="str">
        <x:v>ranged</x:v>
      </x:c>
      <x:c r="L212" s="84" t="n">
        <x:v>101</x:v>
      </x:c>
      <x:c r="M212" s="41" t="str">
        <x:v>Fire Projectile 1</x:v>
      </x:c>
      <x:c r="N212" s="41" t="str">
        <x:v>Path 1 &gt; 2 &gt; 3 &gt; 95 &gt; 97 &gt; 98 &gt; 101</x:v>
      </x:c>
      <x:c r="O212" s="41" t="str">
        <x:v>Select #101 Fire Projectile 1</x:v>
      </x:c>
    </x:row>
    <x:row r="213">
      <x:c r="A213" s="41" t="str">
        <x:v>T210</x:v>
      </x:c>
      <x:c r="B213" s="41" t="str">
        <x:v>P12</x:v>
      </x:c>
      <x:c r="C213" s="41" t="str">
        <x:v>M6</x:v>
      </x:c>
      <x:c r="D213" s="41" t="str">
        <x:v>T3</x:v>
      </x:c>
      <x:c r="E213" s="84" t="n">
        <x:v>6</x:v>
      </x:c>
      <x:c r="F213" s="84" t="n">
        <x:v>2</x:v>
      </x:c>
      <x:c r="G213" s="84" t="n">
        <x:v>6</x:v>
      </x:c>
      <x:c r="H213" s="41" t="str">
        <x:v>Locate Action</x:v>
      </x:c>
      <x:c r="I213" s="41" t="str">
        <x:v>Collapse</x:v>
      </x:c>
      <x:c r="J213" s="84" t="n">
        <x:v>241</x:v>
      </x:c>
      <x:c r="K213" s="84" t="str">
        <x:v>vertical</x:v>
      </x:c>
      <x:c r="L213" s="84" t="n">
        <x:v>91</x:v>
      </x:c>
      <x:c r="M213" s="41" t="str">
        <x:v>Climb Ladder 1</x:v>
      </x:c>
      <x:c r="N213" s="41" t="str">
        <x:v>Path 1 &gt; 2 &gt; 3 &gt; 87 &gt; 89 &gt; 90 &gt; 91</x:v>
      </x:c>
      <x:c r="O213" s="41" t="str">
        <x:v>Select #91 Climb Ladder 1</x:v>
      </x:c>
    </x:row>
    <x:row r="214">
      <x:c r="A214" s="41" t="str">
        <x:v>T211</x:v>
      </x:c>
      <x:c r="B214" s="41" t="str">
        <x:v>P12</x:v>
      </x:c>
      <x:c r="C214" s="41" t="str">
        <x:v>M6</x:v>
      </x:c>
      <x:c r="D214" s="41" t="str">
        <x:v>T3</x:v>
      </x:c>
      <x:c r="E214" s="84" t="n">
        <x:v>6</x:v>
      </x:c>
      <x:c r="F214" s="84" t="n">
        <x:v>3</x:v>
      </x:c>
      <x:c r="G214" s="84" t="n">
        <x:v>1</x:v>
      </x:c>
      <x:c r="H214" s="41" t="str">
        <x:v>Trace Active Path</x:v>
      </x:c>
      <x:c r="I214" s="41" t="str">
        <x:v>Minimap</x:v>
      </x:c>
      <x:c r="J214" s="84" t="n">
        <x:v>241</x:v>
      </x:c>
      <x:c r="K214" s="84" t="str">
        <x:v>search</x:v>
      </x:c>
      <x:c r="L214" s="84" t="n">
        <x:v>156</x:v>
      </x:c>
      <x:c r="M214" s="41" t="str">
        <x:v>Search Movement 1</x:v>
      </x:c>
      <x:c r="N214" s="41" t="str">
        <x:v>Path 1 &gt; 2 &gt; 3 &gt; 152 &gt; 154 &gt; 155 &gt; 156</x:v>
      </x:c>
      <x:c r="O214" s="41" t="str">
        <x:v>Report Root &gt; Continuous Tactical Decisions &gt; Reactive Tactical Priority &gt; 9 Last-Known-Position Search &gt; Search Pattern &gt; Search Pattern 1 &gt; Search Movement 1</x:v>
      </x:c>
    </x:row>
    <x:row r="215">
      <x:c r="A215" s="41" t="str">
        <x:v>T212</x:v>
      </x:c>
      <x:c r="B215" s="41" t="str">
        <x:v>P12</x:v>
      </x:c>
      <x:c r="C215" s="41" t="str">
        <x:v>M6</x:v>
      </x:c>
      <x:c r="D215" s="41" t="str">
        <x:v>T3</x:v>
      </x:c>
      <x:c r="E215" s="84" t="n">
        <x:v>6</x:v>
      </x:c>
      <x:c r="F215" s="84" t="n">
        <x:v>3</x:v>
      </x:c>
      <x:c r="G215" s="84" t="n">
        <x:v>2</x:v>
      </x:c>
      <x:c r="H215" s="41" t="str">
        <x:v>Trace Active Path</x:v>
      </x:c>
      <x:c r="I215" s="41" t="str">
        <x:v>Baseline</x:v>
      </x:c>
      <x:c r="J215" s="84" t="n">
        <x:v>241</x:v>
      </x:c>
      <x:c r="K215" s="84" t="str">
        <x:v>patrol</x:v>
      </x:c>
      <x:c r="L215" s="84" t="n">
        <x:v>201</x:v>
      </x:c>
      <x:c r="M215" s="41" t="str">
        <x:v>Observe Patrol Point 1</x:v>
      </x:c>
      <x:c r="N215" s="41" t="str">
        <x:v>Path 1 &gt; 2 &gt; 3 &gt; 193 &gt; 196 &gt; 197 &gt; 201</x:v>
      </x:c>
      <x:c r="O215" s="41" t="str">
        <x:v>Report Root &gt; Continuous Tactical Decisions &gt; Reactive Tactical Priority &gt; 11 Layered Patrol &gt; Patrol Route Choice &gt; Patrol Route 1 &gt; Observe Patrol Point 1</x:v>
      </x:c>
    </x:row>
    <x:row r="216">
      <x:c r="A216" s="41" t="str">
        <x:v>T213</x:v>
      </x:c>
      <x:c r="B216" s="41" t="str">
        <x:v>P12</x:v>
      </x:c>
      <x:c r="C216" s="41" t="str">
        <x:v>M6</x:v>
      </x:c>
      <x:c r="D216" s="41" t="str">
        <x:v>T3</x:v>
      </x:c>
      <x:c r="E216" s="84" t="n">
        <x:v>6</x:v>
      </x:c>
      <x:c r="F216" s="84" t="n">
        <x:v>3</x:v>
      </x:c>
      <x:c r="G216" s="84" t="n">
        <x:v>3</x:v>
      </x:c>
      <x:c r="H216" s="41" t="str">
        <x:v>Trace Active Path</x:v>
      </x:c>
      <x:c r="I216" s="41" t="str">
        <x:v>Search</x:v>
      </x:c>
      <x:c r="J216" s="84" t="n">
        <x:v>241</x:v>
      </x:c>
      <x:c r="K216" s="84" t="str">
        <x:v>pressure</x:v>
      </x:c>
      <x:c r="L216" s="84" t="n">
        <x:v>113</x:v>
      </x:c>
      <x:c r="M216" s="41" t="str">
        <x:v>Pressure Advance 1</x:v>
      </x:c>
      <x:c r="N216" s="41" t="str">
        <x:v>Path 1 &gt; 2 &gt; 3 &gt; 107 &gt; 109 &gt; 110 &gt; 113</x:v>
      </x:c>
      <x:c r="O216" s="41" t="str">
        <x:v>Report Root &gt; Continuous Tactical Decisions &gt; Reactive Tactical Priority &gt; 7 Mid-Range Pressure &gt; Pressure Pattern &gt; Pressure Pattern 1 &gt; Pressure Advance 1</x:v>
      </x:c>
    </x:row>
    <x:row r="217">
      <x:c r="A217" s="41" t="str">
        <x:v>T214</x:v>
      </x:c>
      <x:c r="B217" s="41" t="str">
        <x:v>P12</x:v>
      </x:c>
      <x:c r="C217" s="41" t="str">
        <x:v>M6</x:v>
      </x:c>
      <x:c r="D217" s="41" t="str">
        <x:v>T3</x:v>
      </x:c>
      <x:c r="E217" s="84" t="n">
        <x:v>6</x:v>
      </x:c>
      <x:c r="F217" s="84" t="n">
        <x:v>3</x:v>
      </x:c>
      <x:c r="G217" s="84" t="n">
        <x:v>4</x:v>
      </x:c>
      <x:c r="H217" s="41" t="str">
        <x:v>Trace Active Path</x:v>
      </x:c>
      <x:c r="I217" s="41" t="str">
        <x:v>Compact</x:v>
      </x:c>
      <x:c r="J217" s="84" t="n">
        <x:v>241</x:v>
      </x:c>
      <x:c r="K217" s="84" t="str">
        <x:v>obstacle</x:v>
      </x:c>
      <x:c r="L217" s="84" t="n">
        <x:v>83</x:v>
      </x:c>
      <x:c r="M217" s="41" t="str">
        <x:v>Jump Obstacle 1</x:v>
      </x:c>
      <x:c r="N217" s="41" t="str">
        <x:v>Path 1 &gt; 2 &gt; 3 &gt; 79 &gt; 81 &gt; 82 &gt; 83</x:v>
      </x:c>
      <x:c r="O217" s="41" t="str">
        <x:v>Report Root &gt; Continuous Tactical Decisions &gt; Reactive Tactical Priority &gt; 4 Obstacle Traversal &gt; Obstacle Solution &gt; Vault Route 1 &gt; Jump Obstacle 1</x:v>
      </x:c>
    </x:row>
    <x:row r="218">
      <x:c r="A218" s="41" t="str">
        <x:v>T215</x:v>
      </x:c>
      <x:c r="B218" s="41" t="str">
        <x:v>P12</x:v>
      </x:c>
      <x:c r="C218" s="41" t="str">
        <x:v>M6</x:v>
      </x:c>
      <x:c r="D218" s="41" t="str">
        <x:v>T3</x:v>
      </x:c>
      <x:c r="E218" s="84" t="n">
        <x:v>6</x:v>
      </x:c>
      <x:c r="F218" s="84" t="n">
        <x:v>3</x:v>
      </x:c>
      <x:c r="G218" s="84" t="n">
        <x:v>5</x:v>
      </x:c>
      <x:c r="H218" s="41" t="str">
        <x:v>Trace Active Path</x:v>
      </x:c>
      <x:c r="I218" s="41" t="str">
        <x:v>Fisheye</x:v>
      </x:c>
      <x:c r="J218" s="84" t="n">
        <x:v>241</x:v>
      </x:c>
      <x:c r="K218" s="84" t="str">
        <x:v>ranged</x:v>
      </x:c>
      <x:c r="L218" s="84" t="n">
        <x:v>101</x:v>
      </x:c>
      <x:c r="M218" s="41" t="str">
        <x:v>Fire Projectile 1</x:v>
      </x:c>
      <x:c r="N218" s="41" t="str">
        <x:v>Path 1 &gt; 2 &gt; 3 &gt; 95 &gt; 97 &gt; 98 &gt; 101</x:v>
      </x:c>
      <x:c r="O218" s="41" t="str">
        <x:v>Report Root &gt; Continuous Tactical Decisions &gt; Reactive Tactical Priority &gt; 6 Ranged Suppression &gt; Ranged Firing Pattern &gt; Ranged Pattern 1 &gt; Fire Projectile 1</x:v>
      </x:c>
    </x:row>
    <x:row r="219">
      <x:c r="A219" s="41" t="str">
        <x:v>T216</x:v>
      </x:c>
      <x:c r="B219" s="41" t="str">
        <x:v>P12</x:v>
      </x:c>
      <x:c r="C219" s="41" t="str">
        <x:v>M6</x:v>
      </x:c>
      <x:c r="D219" s="41" t="str">
        <x:v>T3</x:v>
      </x:c>
      <x:c r="E219" s="84" t="n">
        <x:v>6</x:v>
      </x:c>
      <x:c r="F219" s="84" t="n">
        <x:v>3</x:v>
      </x:c>
      <x:c r="G219" s="84" t="n">
        <x:v>6</x:v>
      </x:c>
      <x:c r="H219" s="41" t="str">
        <x:v>Trace Active Path</x:v>
      </x:c>
      <x:c r="I219" s="41" t="str">
        <x:v>Collapse</x:v>
      </x:c>
      <x:c r="J219" s="84" t="n">
        <x:v>241</x:v>
      </x:c>
      <x:c r="K219" s="84" t="str">
        <x:v>vertical</x:v>
      </x:c>
      <x:c r="L219" s="84" t="n">
        <x:v>91</x:v>
      </x:c>
      <x:c r="M219" s="41" t="str">
        <x:v>Climb Ladder 1</x:v>
      </x:c>
      <x:c r="N219" s="41" t="str">
        <x:v>Path 1 &gt; 2 &gt; 3 &gt; 87 &gt; 89 &gt; 90 &gt; 91</x:v>
      </x:c>
      <x:c r="O219" s="41" t="str">
        <x:v>Report Root &gt; Continuous Tactical Decisions &gt; Reactive Tactical Priority &gt; 5 Vertical Pursuit &gt; Climb Approach &gt; Climb Route 1 &gt; Climb Ladder 1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4" hidden="0" customWidth="1"/>
    <x:col min="17" max="17" width="18" hidden="0" customWidth="1"/>
    <x:col min="18" max="18" width="18" hidden="0" customWidth="1"/>
    <x:col min="19" max="19" width="36" hidden="0" customWidth="1"/>
    <x:col min="20" max="20" width="36" hidden="0" customWidth="1"/>
  </x:cols>
  <x:sheetData>
    <x:row r="1" ht="34" customHeight="1">
      <x:c r="A1" s="5" t="str">
        <x:v>人工实验原始数据（待采集）</x:v>
      </x:c>
      <x:c r="B1" s="5" t="str">
        <x:v>人工实验原始数据（待采集）</x:v>
      </x:c>
      <x:c r="C1" s="5" t="str">
        <x:v>人工实验原始数据（待采集）</x:v>
      </x:c>
      <x:c r="D1" s="5" t="str">
        <x:v>人工实验原始数据（待采集）</x:v>
      </x:c>
      <x:c r="E1" s="5" t="str">
        <x:v>人工实验原始数据（待采集）</x:v>
      </x:c>
      <x:c r="F1" s="5" t="str">
        <x:v>人工实验原始数据（待采集）</x:v>
      </x:c>
      <x:c r="G1" s="5" t="str">
        <x:v>人工实验原始数据（待采集）</x:v>
      </x:c>
      <x:c r="H1" s="5" t="str">
        <x:v>人工实验原始数据（待采集）</x:v>
      </x:c>
      <x:c r="I1" s="5" t="str">
        <x:v>人工实验原始数据（待采集）</x:v>
      </x:c>
      <x:c r="J1" s="5" t="str">
        <x:v>人工实验原始数据（待采集）</x:v>
      </x:c>
      <x:c r="K1" s="5" t="str">
        <x:v>人工实验原始数据（待采集）</x:v>
      </x:c>
      <x:c r="L1" s="5" t="str">
        <x:v>人工实验原始数据（待采集）</x:v>
      </x:c>
      <x:c r="M1" s="5" t="str">
        <x:v>人工实验原始数据（待采集）</x:v>
      </x:c>
      <x:c r="N1" s="5" t="str">
        <x:v>人工实验原始数据（待采集）</x:v>
      </x:c>
      <x:c r="O1" s="5" t="str">
        <x:v>人工实验原始数据（待采集）</x:v>
      </x:c>
      <x:c r="P1" s="5" t="str">
        <x:v>人工实验原始数据（待采集）</x:v>
      </x:c>
      <x:c r="Q1" s="5" t="str">
        <x:v>人工实验原始数据（待采集）</x:v>
      </x:c>
      <x:c r="R1" s="5" t="str">
        <x:v>人工实验原始数据（待采集）</x:v>
      </x:c>
      <x:c r="S1" s="5" t="str">
        <x:v>人工实验原始数据（待采集）</x:v>
      </x:c>
      <x:c r="T1" s="5" t="str">
        <x:v>人工实验原始数据（待采集）</x:v>
      </x:c>
      <x:c r="U1" s="1"/>
      <x:c r="V1" s="1"/>
      <x:c r="W1" s="1"/>
      <x:c r="X1" s="1"/>
      <x:c r="Y1" s="1"/>
      <x:c r="Z1" s="1"/>
    </x:row>
    <x:row r="3">
      <x:c r="A3" s="52" t="str">
        <x:v>Trial ID</x:v>
      </x:c>
      <x:c r="B3" s="52" t="str">
        <x:v>Participant</x:v>
      </x:c>
      <x:c r="C3" s="52" t="str">
        <x:v>Task</x:v>
      </x:c>
      <x:c r="D3" s="52" t="str">
        <x:v>Method</x:v>
      </x:c>
      <x:c r="E3" s="52" t="str">
        <x:v>Target Key</x:v>
      </x:c>
      <x:c r="F3" s="52" t="str">
        <x:v>Target ID</x:v>
      </x:c>
      <x:c r="G3" s="52" t="str">
        <x:v>Target Title</x:v>
      </x:c>
      <x:c r="H3" s="52" t="str">
        <x:v>Time (s)</x:v>
      </x:c>
      <x:c r="I3" s="52" t="str">
        <x:v>Errors</x:v>
      </x:c>
      <x:c r="J3" s="52" t="str">
        <x:v>Zoom</x:v>
      </x:c>
      <x:c r="K3" s="52" t="str">
        <x:v>Pan</x:v>
      </x:c>
      <x:c r="L3" s="52" t="str">
        <x:v>Success</x:v>
      </x:c>
      <x:c r="M3" s="52" t="str">
        <x:v>Readability 1-7</x:v>
      </x:c>
      <x:c r="N3" s="52" t="str">
        <x:v>Cognitive Load 1-7</x:v>
      </x:c>
      <x:c r="O3" s="52" t="str">
        <x:v>Excluded</x:v>
      </x:c>
      <x:c r="P3" s="52" t="str">
        <x:v>Exclusion Reason</x:v>
      </x:c>
      <x:c r="Q3" s="52" t="str">
        <x:v>Observer</x:v>
      </x:c>
      <x:c r="R3" s="52" t="str">
        <x:v>Timestamp</x:v>
      </x:c>
      <x:c r="S3" s="52" t="str">
        <x:v>Participant Comment</x:v>
      </x:c>
      <x:c r="T3" s="52" t="str">
        <x:v>Researcher Notes</x:v>
      </x:c>
    </x:row>
    <x:row r="4">
      <x:c r="A4" s="41" t="str">
        <x:f>'Trial Plan'!A4</x:f>
        <x:v>T001</x:v>
      </x:c>
      <x:c r="B4" s="41" t="str">
        <x:f>'Trial Plan'!B4</x:f>
        <x:v>P01</x:v>
      </x:c>
      <x:c r="C4" s="41" t="str">
        <x:f>'Trial Plan'!H4</x:f>
        <x:v>Locate Action</x:v>
      </x:c>
      <x:c r="D4" s="41" t="str">
        <x:f>'Trial Plan'!I4</x:f>
        <x:v>Baseline</x:v>
      </x:c>
      <x:c r="E4" s="41" t="str">
        <x:f>'Trial Plan'!K4</x:f>
        <x:v>obstacle</x:v>
      </x:c>
      <x:c r="F4" s="41" t="n">
        <x:f>'Trial Plan'!L4</x:f>
        <x:v>83</x:v>
      </x:c>
      <x:c r="G4" s="41" t="str">
        <x:f>'Trial Plan'!M4</x:f>
        <x:v>Jump Obstacle 1</x:v>
      </x:c>
      <x:c r="H4" s="85"/>
      <x:c r="I4" s="86"/>
      <x:c r="J4" s="86"/>
      <x:c r="K4" s="86"/>
      <x:c r="L4" s="53"/>
      <x:c r="M4" s="86"/>
      <x:c r="N4" s="86"/>
      <x:c r="O4" s="53"/>
      <x:c r="P4" s="53"/>
      <x:c r="Q4" s="53"/>
      <x:c r="R4" s="53"/>
      <x:c r="S4" s="53"/>
      <x:c r="T4" s="53"/>
    </x:row>
    <x:row r="5">
      <x:c r="A5" s="41" t="str">
        <x:f>'Trial Plan'!A5</x:f>
        <x:v>T002</x:v>
      </x:c>
      <x:c r="B5" s="41" t="str">
        <x:f>'Trial Plan'!B5</x:f>
        <x:v>P01</x:v>
      </x:c>
      <x:c r="C5" s="41" t="str">
        <x:f>'Trial Plan'!H5</x:f>
        <x:v>Locate Action</x:v>
      </x:c>
      <x:c r="D5" s="41" t="str">
        <x:f>'Trial Plan'!I5</x:f>
        <x:v>Compact</x:v>
      </x:c>
      <x:c r="E5" s="41" t="str">
        <x:f>'Trial Plan'!K5</x:f>
        <x:v>vertical</x:v>
      </x:c>
      <x:c r="F5" s="41" t="n">
        <x:f>'Trial Plan'!L5</x:f>
        <x:v>91</x:v>
      </x:c>
      <x:c r="G5" s="41" t="str">
        <x:f>'Trial Plan'!M5</x:f>
        <x:v>Climb Ladder 1</x:v>
      </x:c>
      <x:c r="H5" s="85"/>
      <x:c r="I5" s="86"/>
      <x:c r="J5" s="86"/>
      <x:c r="K5" s="86"/>
      <x:c r="L5" s="53"/>
      <x:c r="M5" s="86"/>
      <x:c r="N5" s="86"/>
      <x:c r="O5" s="53"/>
      <x:c r="P5" s="53"/>
      <x:c r="Q5" s="53"/>
      <x:c r="R5" s="53"/>
      <x:c r="S5" s="53"/>
      <x:c r="T5" s="53"/>
    </x:row>
    <x:row r="6">
      <x:c r="A6" s="41" t="str">
        <x:f>'Trial Plan'!A6</x:f>
        <x:v>T003</x:v>
      </x:c>
      <x:c r="B6" s="41" t="str">
        <x:f>'Trial Plan'!B6</x:f>
        <x:v>P01</x:v>
      </x:c>
      <x:c r="C6" s="41" t="str">
        <x:f>'Trial Plan'!H6</x:f>
        <x:v>Locate Action</x:v>
      </x:c>
      <x:c r="D6" s="41" t="str">
        <x:f>'Trial Plan'!I6</x:f>
        <x:v>Minimap</x:v>
      </x:c>
      <x:c r="E6" s="41" t="str">
        <x:f>'Trial Plan'!K6</x:f>
        <x:v>patrol</x:v>
      </x:c>
      <x:c r="F6" s="41" t="n">
        <x:f>'Trial Plan'!L6</x:f>
        <x:v>201</x:v>
      </x:c>
      <x:c r="G6" s="41" t="str">
        <x:f>'Trial Plan'!M6</x:f>
        <x:v>Observe Patrol Point 1</x:v>
      </x:c>
      <x:c r="H6" s="85"/>
      <x:c r="I6" s="86"/>
      <x:c r="J6" s="86"/>
      <x:c r="K6" s="86"/>
      <x:c r="L6" s="53"/>
      <x:c r="M6" s="86"/>
      <x:c r="N6" s="86"/>
      <x:c r="O6" s="53"/>
      <x:c r="P6" s="53"/>
      <x:c r="Q6" s="53"/>
      <x:c r="R6" s="53"/>
      <x:c r="S6" s="53"/>
      <x:c r="T6" s="53"/>
    </x:row>
    <x:row r="7">
      <x:c r="A7" s="41" t="str">
        <x:f>'Trial Plan'!A7</x:f>
        <x:v>T004</x:v>
      </x:c>
      <x:c r="B7" s="41" t="str">
        <x:f>'Trial Plan'!B7</x:f>
        <x:v>P01</x:v>
      </x:c>
      <x:c r="C7" s="41" t="str">
        <x:f>'Trial Plan'!H7</x:f>
        <x:v>Locate Action</x:v>
      </x:c>
      <x:c r="D7" s="41" t="str">
        <x:f>'Trial Plan'!I7</x:f>
        <x:v>Collapse</x:v>
      </x:c>
      <x:c r="E7" s="41" t="str">
        <x:f>'Trial Plan'!K7</x:f>
        <x:v>ranged</x:v>
      </x:c>
      <x:c r="F7" s="41" t="n">
        <x:f>'Trial Plan'!L7</x:f>
        <x:v>101</x:v>
      </x:c>
      <x:c r="G7" s="41" t="str">
        <x:f>'Trial Plan'!M7</x:f>
        <x:v>Fire Projectile 1</x:v>
      </x:c>
      <x:c r="H7" s="85"/>
      <x:c r="I7" s="86"/>
      <x:c r="J7" s="86"/>
      <x:c r="K7" s="86"/>
      <x:c r="L7" s="53"/>
      <x:c r="M7" s="86"/>
      <x:c r="N7" s="86"/>
      <x:c r="O7" s="53"/>
      <x:c r="P7" s="53"/>
      <x:c r="Q7" s="53"/>
      <x:c r="R7" s="53"/>
      <x:c r="S7" s="53"/>
      <x:c r="T7" s="53"/>
    </x:row>
    <x:row r="8">
      <x:c r="A8" s="41" t="str">
        <x:f>'Trial Plan'!A8</x:f>
        <x:v>T005</x:v>
      </x:c>
      <x:c r="B8" s="41" t="str">
        <x:f>'Trial Plan'!B8</x:f>
        <x:v>P01</x:v>
      </x:c>
      <x:c r="C8" s="41" t="str">
        <x:f>'Trial Plan'!H8</x:f>
        <x:v>Locate Action</x:v>
      </x:c>
      <x:c r="D8" s="41" t="str">
        <x:f>'Trial Plan'!I8</x:f>
        <x:v>Search</x:v>
      </x:c>
      <x:c r="E8" s="41" t="str">
        <x:f>'Trial Plan'!K8</x:f>
        <x:v>search</x:v>
      </x:c>
      <x:c r="F8" s="41" t="n">
        <x:f>'Trial Plan'!L8</x:f>
        <x:v>156</x:v>
      </x:c>
      <x:c r="G8" s="41" t="str">
        <x:f>'Trial Plan'!M8</x:f>
        <x:v>Search Movement 1</x:v>
      </x:c>
      <x:c r="H8" s="85"/>
      <x:c r="I8" s="86"/>
      <x:c r="J8" s="86"/>
      <x:c r="K8" s="86"/>
      <x:c r="L8" s="53"/>
      <x:c r="M8" s="86"/>
      <x:c r="N8" s="86"/>
      <x:c r="O8" s="53"/>
      <x:c r="P8" s="53"/>
      <x:c r="Q8" s="53"/>
      <x:c r="R8" s="53"/>
      <x:c r="S8" s="53"/>
      <x:c r="T8" s="53"/>
    </x:row>
    <x:row r="9">
      <x:c r="A9" s="41" t="str">
        <x:f>'Trial Plan'!A9</x:f>
        <x:v>T006</x:v>
      </x:c>
      <x:c r="B9" s="41" t="str">
        <x:f>'Trial Plan'!B9</x:f>
        <x:v>P01</x:v>
      </x:c>
      <x:c r="C9" s="41" t="str">
        <x:f>'Trial Plan'!H9</x:f>
        <x:v>Locate Action</x:v>
      </x:c>
      <x:c r="D9" s="41" t="str">
        <x:f>'Trial Plan'!I9</x:f>
        <x:v>Fisheye</x:v>
      </x:c>
      <x:c r="E9" s="41" t="str">
        <x:f>'Trial Plan'!K9</x:f>
        <x:v>pressure</x:v>
      </x:c>
      <x:c r="F9" s="41" t="n">
        <x:f>'Trial Plan'!L9</x:f>
        <x:v>113</x:v>
      </x:c>
      <x:c r="G9" s="41" t="str">
        <x:f>'Trial Plan'!M9</x:f>
        <x:v>Pressure Advance 1</x:v>
      </x:c>
      <x:c r="H9" s="85"/>
      <x:c r="I9" s="86"/>
      <x:c r="J9" s="86"/>
      <x:c r="K9" s="86"/>
      <x:c r="L9" s="53"/>
      <x:c r="M9" s="86"/>
      <x:c r="N9" s="86"/>
      <x:c r="O9" s="53"/>
      <x:c r="P9" s="53"/>
      <x:c r="Q9" s="53"/>
      <x:c r="R9" s="53"/>
      <x:c r="S9" s="53"/>
      <x:c r="T9" s="53"/>
    </x:row>
    <x:row r="10">
      <x:c r="A10" s="41" t="str">
        <x:f>'Trial Plan'!A10</x:f>
        <x:v>T007</x:v>
      </x:c>
      <x:c r="B10" s="41" t="str">
        <x:f>'Trial Plan'!B10</x:f>
        <x:v>P01</x:v>
      </x:c>
      <x:c r="C10" s="41" t="str">
        <x:f>'Trial Plan'!H10</x:f>
        <x:v>Trace Active Path</x:v>
      </x:c>
      <x:c r="D10" s="41" t="str">
        <x:f>'Trial Plan'!I10</x:f>
        <x:v>Baseline</x:v>
      </x:c>
      <x:c r="E10" s="41" t="str">
        <x:f>'Trial Plan'!K10</x:f>
        <x:v>obstacle</x:v>
      </x:c>
      <x:c r="F10" s="41" t="n">
        <x:f>'Trial Plan'!L10</x:f>
        <x:v>83</x:v>
      </x:c>
      <x:c r="G10" s="41" t="str">
        <x:f>'Trial Plan'!M10</x:f>
        <x:v>Jump Obstacle 1</x:v>
      </x:c>
      <x:c r="H10" s="85"/>
      <x:c r="I10" s="86"/>
      <x:c r="J10" s="86"/>
      <x:c r="K10" s="86"/>
      <x:c r="L10" s="53"/>
      <x:c r="M10" s="86"/>
      <x:c r="N10" s="86"/>
      <x:c r="O10" s="53"/>
      <x:c r="P10" s="53"/>
      <x:c r="Q10" s="53"/>
      <x:c r="R10" s="53"/>
      <x:c r="S10" s="53"/>
      <x:c r="T10" s="53"/>
    </x:row>
    <x:row r="11">
      <x:c r="A11" s="41" t="str">
        <x:f>'Trial Plan'!A11</x:f>
        <x:v>T008</x:v>
      </x:c>
      <x:c r="B11" s="41" t="str">
        <x:f>'Trial Plan'!B11</x:f>
        <x:v>P01</x:v>
      </x:c>
      <x:c r="C11" s="41" t="str">
        <x:f>'Trial Plan'!H11</x:f>
        <x:v>Trace Active Path</x:v>
      </x:c>
      <x:c r="D11" s="41" t="str">
        <x:f>'Trial Plan'!I11</x:f>
        <x:v>Compact</x:v>
      </x:c>
      <x:c r="E11" s="41" t="str">
        <x:f>'Trial Plan'!K11</x:f>
        <x:v>vertical</x:v>
      </x:c>
      <x:c r="F11" s="41" t="n">
        <x:f>'Trial Plan'!L11</x:f>
        <x:v>91</x:v>
      </x:c>
      <x:c r="G11" s="41" t="str">
        <x:f>'Trial Plan'!M11</x:f>
        <x:v>Climb Ladder 1</x:v>
      </x:c>
      <x:c r="H11" s="85"/>
      <x:c r="I11" s="86"/>
      <x:c r="J11" s="86"/>
      <x:c r="K11" s="86"/>
      <x:c r="L11" s="53"/>
      <x:c r="M11" s="86"/>
      <x:c r="N11" s="86"/>
      <x:c r="O11" s="53"/>
      <x:c r="P11" s="53"/>
      <x:c r="Q11" s="53"/>
      <x:c r="R11" s="53"/>
      <x:c r="S11" s="53"/>
      <x:c r="T11" s="53"/>
    </x:row>
    <x:row r="12">
      <x:c r="A12" s="41" t="str">
        <x:f>'Trial Plan'!A12</x:f>
        <x:v>T009</x:v>
      </x:c>
      <x:c r="B12" s="41" t="str">
        <x:f>'Trial Plan'!B12</x:f>
        <x:v>P01</x:v>
      </x:c>
      <x:c r="C12" s="41" t="str">
        <x:f>'Trial Plan'!H12</x:f>
        <x:v>Trace Active Path</x:v>
      </x:c>
      <x:c r="D12" s="41" t="str">
        <x:f>'Trial Plan'!I12</x:f>
        <x:v>Minimap</x:v>
      </x:c>
      <x:c r="E12" s="41" t="str">
        <x:f>'Trial Plan'!K12</x:f>
        <x:v>patrol</x:v>
      </x:c>
      <x:c r="F12" s="41" t="n">
        <x:f>'Trial Plan'!L12</x:f>
        <x:v>201</x:v>
      </x:c>
      <x:c r="G12" s="41" t="str">
        <x:f>'Trial Plan'!M12</x:f>
        <x:v>Observe Patrol Point 1</x:v>
      </x:c>
      <x:c r="H12" s="85"/>
      <x:c r="I12" s="86"/>
      <x:c r="J12" s="86"/>
      <x:c r="K12" s="86"/>
      <x:c r="L12" s="53"/>
      <x:c r="M12" s="86"/>
      <x:c r="N12" s="86"/>
      <x:c r="O12" s="53"/>
      <x:c r="P12" s="53"/>
      <x:c r="Q12" s="53"/>
      <x:c r="R12" s="53"/>
      <x:c r="S12" s="53"/>
      <x:c r="T12" s="53"/>
    </x:row>
    <x:row r="13">
      <x:c r="A13" s="41" t="str">
        <x:f>'Trial Plan'!A13</x:f>
        <x:v>T010</x:v>
      </x:c>
      <x:c r="B13" s="41" t="str">
        <x:f>'Trial Plan'!B13</x:f>
        <x:v>P01</x:v>
      </x:c>
      <x:c r="C13" s="41" t="str">
        <x:f>'Trial Plan'!H13</x:f>
        <x:v>Trace Active Path</x:v>
      </x:c>
      <x:c r="D13" s="41" t="str">
        <x:f>'Trial Plan'!I13</x:f>
        <x:v>Collapse</x:v>
      </x:c>
      <x:c r="E13" s="41" t="str">
        <x:f>'Trial Plan'!K13</x:f>
        <x:v>ranged</x:v>
      </x:c>
      <x:c r="F13" s="41" t="n">
        <x:f>'Trial Plan'!L13</x:f>
        <x:v>101</x:v>
      </x:c>
      <x:c r="G13" s="41" t="str">
        <x:f>'Trial Plan'!M13</x:f>
        <x:v>Fire Projectile 1</x:v>
      </x:c>
      <x:c r="H13" s="85"/>
      <x:c r="I13" s="86"/>
      <x:c r="J13" s="86"/>
      <x:c r="K13" s="86"/>
      <x:c r="L13" s="53"/>
      <x:c r="M13" s="86"/>
      <x:c r="N13" s="86"/>
      <x:c r="O13" s="53"/>
      <x:c r="P13" s="53"/>
      <x:c r="Q13" s="53"/>
      <x:c r="R13" s="53"/>
      <x:c r="S13" s="53"/>
      <x:c r="T13" s="53"/>
    </x:row>
    <x:row r="14">
      <x:c r="A14" s="41" t="str">
        <x:f>'Trial Plan'!A14</x:f>
        <x:v>T011</x:v>
      </x:c>
      <x:c r="B14" s="41" t="str">
        <x:f>'Trial Plan'!B14</x:f>
        <x:v>P01</x:v>
      </x:c>
      <x:c r="C14" s="41" t="str">
        <x:f>'Trial Plan'!H14</x:f>
        <x:v>Trace Active Path</x:v>
      </x:c>
      <x:c r="D14" s="41" t="str">
        <x:f>'Trial Plan'!I14</x:f>
        <x:v>Search</x:v>
      </x:c>
      <x:c r="E14" s="41" t="str">
        <x:f>'Trial Plan'!K14</x:f>
        <x:v>search</x:v>
      </x:c>
      <x:c r="F14" s="41" t="n">
        <x:f>'Trial Plan'!L14</x:f>
        <x:v>156</x:v>
      </x:c>
      <x:c r="G14" s="41" t="str">
        <x:f>'Trial Plan'!M14</x:f>
        <x:v>Search Movement 1</x:v>
      </x:c>
      <x:c r="H14" s="85"/>
      <x:c r="I14" s="86"/>
      <x:c r="J14" s="86"/>
      <x:c r="K14" s="86"/>
      <x:c r="L14" s="53"/>
      <x:c r="M14" s="86"/>
      <x:c r="N14" s="86"/>
      <x:c r="O14" s="53"/>
      <x:c r="P14" s="53"/>
      <x:c r="Q14" s="53"/>
      <x:c r="R14" s="53"/>
      <x:c r="S14" s="53"/>
      <x:c r="T14" s="53"/>
    </x:row>
    <x:row r="15">
      <x:c r="A15" s="41" t="str">
        <x:f>'Trial Plan'!A15</x:f>
        <x:v>T012</x:v>
      </x:c>
      <x:c r="B15" s="41" t="str">
        <x:f>'Trial Plan'!B15</x:f>
        <x:v>P01</x:v>
      </x:c>
      <x:c r="C15" s="41" t="str">
        <x:f>'Trial Plan'!H15</x:f>
        <x:v>Trace Active Path</x:v>
      </x:c>
      <x:c r="D15" s="41" t="str">
        <x:f>'Trial Plan'!I15</x:f>
        <x:v>Fisheye</x:v>
      </x:c>
      <x:c r="E15" s="41" t="str">
        <x:f>'Trial Plan'!K15</x:f>
        <x:v>pressure</x:v>
      </x:c>
      <x:c r="F15" s="41" t="n">
        <x:f>'Trial Plan'!L15</x:f>
        <x:v>113</x:v>
      </x:c>
      <x:c r="G15" s="41" t="str">
        <x:f>'Trial Plan'!M15</x:f>
        <x:v>Pressure Advance 1</x:v>
      </x:c>
      <x:c r="H15" s="85"/>
      <x:c r="I15" s="86"/>
      <x:c r="J15" s="86"/>
      <x:c r="K15" s="86"/>
      <x:c r="L15" s="53"/>
      <x:c r="M15" s="86"/>
      <x:c r="N15" s="86"/>
      <x:c r="O15" s="53"/>
      <x:c r="P15" s="53"/>
      <x:c r="Q15" s="53"/>
      <x:c r="R15" s="53"/>
      <x:c r="S15" s="53"/>
      <x:c r="T15" s="53"/>
    </x:row>
    <x:row r="16">
      <x:c r="A16" s="41" t="str">
        <x:f>'Trial Plan'!A16</x:f>
        <x:v>T013</x:v>
      </x:c>
      <x:c r="B16" s="41" t="str">
        <x:f>'Trial Plan'!B16</x:f>
        <x:v>P01</x:v>
      </x:c>
      <x:c r="C16" s="41" t="str">
        <x:f>'Trial Plan'!H16</x:f>
        <x:v>Edit Decorator</x:v>
      </x:c>
      <x:c r="D16" s="41" t="str">
        <x:f>'Trial Plan'!I16</x:f>
        <x:v>Baseline</x:v>
      </x:c>
      <x:c r="E16" s="41" t="str">
        <x:f>'Trial Plan'!K16</x:f>
        <x:v>defense</x:v>
      </x:c>
      <x:c r="F16" s="41" t="n">
        <x:f>'Trial Plan'!L16</x:f>
        <x:v>31</x:v>
      </x:c>
      <x:c r="G16" s="41" t="str">
        <x:f>'Trial Plan'!M16</x:f>
        <x:v>Defense Cooldown 1</x:v>
      </x:c>
      <x:c r="H16" s="85"/>
      <x:c r="I16" s="86"/>
      <x:c r="J16" s="86"/>
      <x:c r="K16" s="86"/>
      <x:c r="L16" s="53"/>
      <x:c r="M16" s="86"/>
      <x:c r="N16" s="86"/>
      <x:c r="O16" s="53"/>
      <x:c r="P16" s="53"/>
      <x:c r="Q16" s="53"/>
      <x:c r="R16" s="53"/>
      <x:c r="S16" s="53"/>
      <x:c r="T16" s="53"/>
    </x:row>
    <x:row r="17">
      <x:c r="A17" s="41" t="str">
        <x:f>'Trial Plan'!A17</x:f>
        <x:v>T014</x:v>
      </x:c>
      <x:c r="B17" s="41" t="str">
        <x:f>'Trial Plan'!B17</x:f>
        <x:v>P01</x:v>
      </x:c>
      <x:c r="C17" s="41" t="str">
        <x:f>'Trial Plan'!H17</x:f>
        <x:v>Edit Decorator</x:v>
      </x:c>
      <x:c r="D17" s="41" t="str">
        <x:f>'Trial Plan'!I17</x:f>
        <x:v>Compact</x:v>
      </x:c>
      <x:c r="E17" s="41" t="str">
        <x:f>'Trial Plan'!K17</x:f>
        <x:v>pressure</x:v>
      </x:c>
      <x:c r="F17" s="41" t="n">
        <x:f>'Trial Plan'!L17</x:f>
        <x:v>114</x:v>
      </x:c>
      <x:c r="G17" s="41" t="str">
        <x:f>'Trial Plan'!M17</x:f>
        <x:v>Pressure Cooldown 1</x:v>
      </x:c>
      <x:c r="H17" s="85"/>
      <x:c r="I17" s="86"/>
      <x:c r="J17" s="86"/>
      <x:c r="K17" s="86"/>
      <x:c r="L17" s="53"/>
      <x:c r="M17" s="86"/>
      <x:c r="N17" s="86"/>
      <x:c r="O17" s="53"/>
      <x:c r="P17" s="53"/>
      <x:c r="Q17" s="53"/>
      <x:c r="R17" s="53"/>
      <x:c r="S17" s="53"/>
      <x:c r="T17" s="53"/>
    </x:row>
    <x:row r="18">
      <x:c r="A18" s="41" t="str">
        <x:f>'Trial Plan'!A18</x:f>
        <x:v>T015</x:v>
      </x:c>
      <x:c r="B18" s="41" t="str">
        <x:f>'Trial Plan'!B18</x:f>
        <x:v>P01</x:v>
      </x:c>
      <x:c r="C18" s="41" t="str">
        <x:f>'Trial Plan'!H18</x:f>
        <x:v>Edit Decorator</x:v>
      </x:c>
      <x:c r="D18" s="41" t="str">
        <x:f>'Trial Plan'!I18</x:f>
        <x:v>Minimap</x:v>
      </x:c>
      <x:c r="E18" s="41" t="str">
        <x:f>'Trial Plan'!K18</x:f>
        <x:v>patrol</x:v>
      </x:c>
      <x:c r="F18" s="41" t="n">
        <x:f>'Trial Plan'!L18</x:f>
        <x:v>202</x:v>
      </x:c>
      <x:c r="G18" s="41" t="str">
        <x:f>'Trial Plan'!M18</x:f>
        <x:v>Patrol Leg Limit 1</x:v>
      </x:c>
      <x:c r="H18" s="85"/>
      <x:c r="I18" s="86"/>
      <x:c r="J18" s="86"/>
      <x:c r="K18" s="86"/>
      <x:c r="L18" s="53"/>
      <x:c r="M18" s="86"/>
      <x:c r="N18" s="86"/>
      <x:c r="O18" s="53"/>
      <x:c r="P18" s="53"/>
      <x:c r="Q18" s="53"/>
      <x:c r="R18" s="53"/>
      <x:c r="S18" s="53"/>
      <x:c r="T18" s="53"/>
    </x:row>
    <x:row r="19">
      <x:c r="A19" s="41" t="str">
        <x:f>'Trial Plan'!A19</x:f>
        <x:v>T016</x:v>
      </x:c>
      <x:c r="B19" s="41" t="str">
        <x:f>'Trial Plan'!B19</x:f>
        <x:v>P01</x:v>
      </x:c>
      <x:c r="C19" s="41" t="str">
        <x:f>'Trial Plan'!H19</x:f>
        <x:v>Edit Decorator</x:v>
      </x:c>
      <x:c r="D19" s="41" t="str">
        <x:f>'Trial Plan'!I19</x:f>
        <x:v>Collapse</x:v>
      </x:c>
      <x:c r="E19" s="41" t="str">
        <x:f>'Trial Plan'!K19</x:f>
        <x:v>chase</x:v>
      </x:c>
      <x:c r="F19" s="41" t="n">
        <x:f>'Trial Plan'!L19</x:f>
        <x:v>133</x:v>
      </x:c>
      <x:c r="G19" s="41" t="str">
        <x:f>'Trial Plan'!M19</x:f>
        <x:v>Chase Step Limit 1</x:v>
      </x:c>
      <x:c r="H19" s="85"/>
      <x:c r="I19" s="86"/>
      <x:c r="J19" s="86"/>
      <x:c r="K19" s="86"/>
      <x:c r="L19" s="53"/>
      <x:c r="M19" s="86"/>
      <x:c r="N19" s="86"/>
      <x:c r="O19" s="53"/>
      <x:c r="P19" s="53"/>
      <x:c r="Q19" s="53"/>
      <x:c r="R19" s="53"/>
      <x:c r="S19" s="53"/>
      <x:c r="T19" s="53"/>
    </x:row>
    <x:row r="20">
      <x:c r="A20" s="41" t="str">
        <x:f>'Trial Plan'!A20</x:f>
        <x:v>T017</x:v>
      </x:c>
      <x:c r="B20" s="41" t="str">
        <x:f>'Trial Plan'!B20</x:f>
        <x:v>P01</x:v>
      </x:c>
      <x:c r="C20" s="41" t="str">
        <x:f>'Trial Plan'!H20</x:f>
        <x:v>Edit Decorator</x:v>
      </x:c>
      <x:c r="D20" s="41" t="str">
        <x:f>'Trial Plan'!I20</x:f>
        <x:v>Search</x:v>
      </x:c>
      <x:c r="E20" s="41" t="str">
        <x:f>'Trial Plan'!K20</x:f>
        <x:v>return</x:v>
      </x:c>
      <x:c r="F20" s="41" t="n">
        <x:f>'Trial Plan'!L20</x:f>
        <x:v>182</x:v>
      </x:c>
      <x:c r="G20" s="41" t="str">
        <x:f>'Trial Plan'!M20</x:f>
        <x:v>Return Step Limit 1</x:v>
      </x:c>
      <x:c r="H20" s="85"/>
      <x:c r="I20" s="86"/>
      <x:c r="J20" s="86"/>
      <x:c r="K20" s="86"/>
      <x:c r="L20" s="53"/>
      <x:c r="M20" s="86"/>
      <x:c r="N20" s="86"/>
      <x:c r="O20" s="53"/>
      <x:c r="P20" s="53"/>
      <x:c r="Q20" s="53"/>
      <x:c r="R20" s="53"/>
      <x:c r="S20" s="53"/>
      <x:c r="T20" s="53"/>
    </x:row>
    <x:row r="21">
      <x:c r="A21" s="41" t="str">
        <x:f>'Trial Plan'!A21</x:f>
        <x:v>T018</x:v>
      </x:c>
      <x:c r="B21" s="41" t="str">
        <x:f>'Trial Plan'!B21</x:f>
        <x:v>P01</x:v>
      </x:c>
      <x:c r="C21" s="41" t="str">
        <x:f>'Trial Plan'!H21</x:f>
        <x:v>Edit Decorator</x:v>
      </x:c>
      <x:c r="D21" s="41" t="str">
        <x:f>'Trial Plan'!I21</x:f>
        <x:v>Fisheye</x:v>
      </x:c>
      <x:c r="E21" s="41" t="str">
        <x:f>'Trial Plan'!K21</x:f>
        <x:v>search</x:v>
      </x:c>
      <x:c r="F21" s="41" t="n">
        <x:f>'Trial Plan'!L21</x:f>
        <x:v>159</x:v>
      </x:c>
      <x:c r="G21" s="41" t="str">
        <x:f>'Trial Plan'!M21</x:f>
        <x:v>Search Leg Limit 1</x:v>
      </x:c>
      <x:c r="H21" s="85"/>
      <x:c r="I21" s="86"/>
      <x:c r="J21" s="86"/>
      <x:c r="K21" s="86"/>
      <x:c r="L21" s="53"/>
      <x:c r="M21" s="86"/>
      <x:c r="N21" s="86"/>
      <x:c r="O21" s="53"/>
      <x:c r="P21" s="53"/>
      <x:c r="Q21" s="53"/>
      <x:c r="R21" s="53"/>
      <x:c r="S21" s="53"/>
      <x:c r="T21" s="53"/>
    </x:row>
    <x:row r="22">
      <x:c r="A22" s="41" t="str">
        <x:f>'Trial Plan'!A22</x:f>
        <x:v>T019</x:v>
      </x:c>
      <x:c r="B22" s="41" t="str">
        <x:f>'Trial Plan'!B22</x:f>
        <x:v>P02</x:v>
      </x:c>
      <x:c r="C22" s="41" t="str">
        <x:f>'Trial Plan'!H22</x:f>
        <x:v>Trace Active Path</x:v>
      </x:c>
      <x:c r="D22" s="41" t="str">
        <x:f>'Trial Plan'!I22</x:f>
        <x:v>Compact</x:v>
      </x:c>
      <x:c r="E22" s="41" t="str">
        <x:f>'Trial Plan'!K22</x:f>
        <x:v>ranged</x:v>
      </x:c>
      <x:c r="F22" s="41" t="n">
        <x:f>'Trial Plan'!L22</x:f>
        <x:v>101</x:v>
      </x:c>
      <x:c r="G22" s="41" t="str">
        <x:f>'Trial Plan'!M22</x:f>
        <x:v>Fire Projectile 1</x:v>
      </x:c>
      <x:c r="H22" s="85"/>
      <x:c r="I22" s="86"/>
      <x:c r="J22" s="86"/>
      <x:c r="K22" s="86"/>
      <x:c r="L22" s="53"/>
      <x:c r="M22" s="86"/>
      <x:c r="N22" s="86"/>
      <x:c r="O22" s="53"/>
      <x:c r="P22" s="53"/>
      <x:c r="Q22" s="53"/>
      <x:c r="R22" s="53"/>
      <x:c r="S22" s="53"/>
      <x:c r="T22" s="53"/>
    </x:row>
    <x:row r="23">
      <x:c r="A23" s="41" t="str">
        <x:f>'Trial Plan'!A23</x:f>
        <x:v>T020</x:v>
      </x:c>
      <x:c r="B23" s="41" t="str">
        <x:f>'Trial Plan'!B23</x:f>
        <x:v>P02</x:v>
      </x:c>
      <x:c r="C23" s="41" t="str">
        <x:f>'Trial Plan'!H23</x:f>
        <x:v>Trace Active Path</x:v>
      </x:c>
      <x:c r="D23" s="41" t="str">
        <x:f>'Trial Plan'!I23</x:f>
        <x:v>Collapse</x:v>
      </x:c>
      <x:c r="E23" s="41" t="str">
        <x:f>'Trial Plan'!K23</x:f>
        <x:v>pressure</x:v>
      </x:c>
      <x:c r="F23" s="41" t="n">
        <x:f>'Trial Plan'!L23</x:f>
        <x:v>113</x:v>
      </x:c>
      <x:c r="G23" s="41" t="str">
        <x:f>'Trial Plan'!M23</x:f>
        <x:v>Pressure Advance 1</x:v>
      </x:c>
      <x:c r="H23" s="85"/>
      <x:c r="I23" s="86"/>
      <x:c r="J23" s="86"/>
      <x:c r="K23" s="86"/>
      <x:c r="L23" s="53"/>
      <x:c r="M23" s="86"/>
      <x:c r="N23" s="86"/>
      <x:c r="O23" s="53"/>
      <x:c r="P23" s="53"/>
      <x:c r="Q23" s="53"/>
      <x:c r="R23" s="53"/>
      <x:c r="S23" s="53"/>
      <x:c r="T23" s="53"/>
    </x:row>
    <x:row r="24">
      <x:c r="A24" s="41" t="str">
        <x:f>'Trial Plan'!A24</x:f>
        <x:v>T021</x:v>
      </x:c>
      <x:c r="B24" s="41" t="str">
        <x:f>'Trial Plan'!B24</x:f>
        <x:v>P02</x:v>
      </x:c>
      <x:c r="C24" s="41" t="str">
        <x:f>'Trial Plan'!H24</x:f>
        <x:v>Trace Active Path</x:v>
      </x:c>
      <x:c r="D24" s="41" t="str">
        <x:f>'Trial Plan'!I24</x:f>
        <x:v>Baseline</x:v>
      </x:c>
      <x:c r="E24" s="41" t="str">
        <x:f>'Trial Plan'!K24</x:f>
        <x:v>vertical</x:v>
      </x:c>
      <x:c r="F24" s="41" t="n">
        <x:f>'Trial Plan'!L24</x:f>
        <x:v>91</x:v>
      </x:c>
      <x:c r="G24" s="41" t="str">
        <x:f>'Trial Plan'!M24</x:f>
        <x:v>Climb Ladder 1</x:v>
      </x:c>
      <x:c r="H24" s="85"/>
      <x:c r="I24" s="86"/>
      <x:c r="J24" s="86"/>
      <x:c r="K24" s="86"/>
      <x:c r="L24" s="53"/>
      <x:c r="M24" s="86"/>
      <x:c r="N24" s="86"/>
      <x:c r="O24" s="53"/>
      <x:c r="P24" s="53"/>
      <x:c r="Q24" s="53"/>
      <x:c r="R24" s="53"/>
      <x:c r="S24" s="53"/>
      <x:c r="T24" s="53"/>
    </x:row>
    <x:row r="25">
      <x:c r="A25" s="41" t="str">
        <x:f>'Trial Plan'!A25</x:f>
        <x:v>T022</x:v>
      </x:c>
      <x:c r="B25" s="41" t="str">
        <x:f>'Trial Plan'!B25</x:f>
        <x:v>P02</x:v>
      </x:c>
      <x:c r="C25" s="41" t="str">
        <x:f>'Trial Plan'!H25</x:f>
        <x:v>Trace Active Path</x:v>
      </x:c>
      <x:c r="D25" s="41" t="str">
        <x:f>'Trial Plan'!I25</x:f>
        <x:v>Fisheye</x:v>
      </x:c>
      <x:c r="E25" s="41" t="str">
        <x:f>'Trial Plan'!K25</x:f>
        <x:v>search</x:v>
      </x:c>
      <x:c r="F25" s="41" t="n">
        <x:f>'Trial Plan'!L25</x:f>
        <x:v>156</x:v>
      </x:c>
      <x:c r="G25" s="41" t="str">
        <x:f>'Trial Plan'!M25</x:f>
        <x:v>Search Movement 1</x:v>
      </x:c>
      <x:c r="H25" s="85"/>
      <x:c r="I25" s="86"/>
      <x:c r="J25" s="86"/>
      <x:c r="K25" s="86"/>
      <x:c r="L25" s="53"/>
      <x:c r="M25" s="86"/>
      <x:c r="N25" s="86"/>
      <x:c r="O25" s="53"/>
      <x:c r="P25" s="53"/>
      <x:c r="Q25" s="53"/>
      <x:c r="R25" s="53"/>
      <x:c r="S25" s="53"/>
      <x:c r="T25" s="53"/>
    </x:row>
    <x:row r="26">
      <x:c r="A26" s="41" t="str">
        <x:f>'Trial Plan'!A26</x:f>
        <x:v>T023</x:v>
      </x:c>
      <x:c r="B26" s="41" t="str">
        <x:f>'Trial Plan'!B26</x:f>
        <x:v>P02</x:v>
      </x:c>
      <x:c r="C26" s="41" t="str">
        <x:f>'Trial Plan'!H26</x:f>
        <x:v>Trace Active Path</x:v>
      </x:c>
      <x:c r="D26" s="41" t="str">
        <x:f>'Trial Plan'!I26</x:f>
        <x:v>Minimap</x:v>
      </x:c>
      <x:c r="E26" s="41" t="str">
        <x:f>'Trial Plan'!K26</x:f>
        <x:v>obstacle</x:v>
      </x:c>
      <x:c r="F26" s="41" t="n">
        <x:f>'Trial Plan'!L26</x:f>
        <x:v>83</x:v>
      </x:c>
      <x:c r="G26" s="41" t="str">
        <x:f>'Trial Plan'!M26</x:f>
        <x:v>Jump Obstacle 1</x:v>
      </x:c>
      <x:c r="H26" s="85"/>
      <x:c r="I26" s="86"/>
      <x:c r="J26" s="86"/>
      <x:c r="K26" s="86"/>
      <x:c r="L26" s="53"/>
      <x:c r="M26" s="86"/>
      <x:c r="N26" s="86"/>
      <x:c r="O26" s="53"/>
      <x:c r="P26" s="53"/>
      <x:c r="Q26" s="53"/>
      <x:c r="R26" s="53"/>
      <x:c r="S26" s="53"/>
      <x:c r="T26" s="53"/>
    </x:row>
    <x:row r="27">
      <x:c r="A27" s="41" t="str">
        <x:f>'Trial Plan'!A27</x:f>
        <x:v>T024</x:v>
      </x:c>
      <x:c r="B27" s="41" t="str">
        <x:f>'Trial Plan'!B27</x:f>
        <x:v>P02</x:v>
      </x:c>
      <x:c r="C27" s="41" t="str">
        <x:f>'Trial Plan'!H27</x:f>
        <x:v>Trace Active Path</x:v>
      </x:c>
      <x:c r="D27" s="41" t="str">
        <x:f>'Trial Plan'!I27</x:f>
        <x:v>Search</x:v>
      </x:c>
      <x:c r="E27" s="41" t="str">
        <x:f>'Trial Plan'!K27</x:f>
        <x:v>patrol</x:v>
      </x:c>
      <x:c r="F27" s="41" t="n">
        <x:f>'Trial Plan'!L27</x:f>
        <x:v>201</x:v>
      </x:c>
      <x:c r="G27" s="41" t="str">
        <x:f>'Trial Plan'!M27</x:f>
        <x:v>Observe Patrol Point 1</x:v>
      </x:c>
      <x:c r="H27" s="85"/>
      <x:c r="I27" s="86"/>
      <x:c r="J27" s="86"/>
      <x:c r="K27" s="86"/>
      <x:c r="L27" s="53"/>
      <x:c r="M27" s="86"/>
      <x:c r="N27" s="86"/>
      <x:c r="O27" s="53"/>
      <x:c r="P27" s="53"/>
      <x:c r="Q27" s="53"/>
      <x:c r="R27" s="53"/>
      <x:c r="S27" s="53"/>
      <x:c r="T27" s="53"/>
    </x:row>
    <x:row r="28">
      <x:c r="A28" s="41" t="str">
        <x:f>'Trial Plan'!A28</x:f>
        <x:v>T025</x:v>
      </x:c>
      <x:c r="B28" s="41" t="str">
        <x:f>'Trial Plan'!B28</x:f>
        <x:v>P02</x:v>
      </x:c>
      <x:c r="C28" s="41" t="str">
        <x:f>'Trial Plan'!H28</x:f>
        <x:v>Edit Decorator</x:v>
      </x:c>
      <x:c r="D28" s="41" t="str">
        <x:f>'Trial Plan'!I28</x:f>
        <x:v>Compact</x:v>
      </x:c>
      <x:c r="E28" s="41" t="str">
        <x:f>'Trial Plan'!K28</x:f>
        <x:v>chase</x:v>
      </x:c>
      <x:c r="F28" s="41" t="n">
        <x:f>'Trial Plan'!L28</x:f>
        <x:v>133</x:v>
      </x:c>
      <x:c r="G28" s="41" t="str">
        <x:f>'Trial Plan'!M28</x:f>
        <x:v>Chase Step Limit 1</x:v>
      </x:c>
      <x:c r="H28" s="85"/>
      <x:c r="I28" s="86"/>
      <x:c r="J28" s="86"/>
      <x:c r="K28" s="86"/>
      <x:c r="L28" s="53"/>
      <x:c r="M28" s="86"/>
      <x:c r="N28" s="86"/>
      <x:c r="O28" s="53"/>
      <x:c r="P28" s="53"/>
      <x:c r="Q28" s="53"/>
      <x:c r="R28" s="53"/>
      <x:c r="S28" s="53"/>
      <x:c r="T28" s="53"/>
    </x:row>
    <x:row r="29">
      <x:c r="A29" s="41" t="str">
        <x:f>'Trial Plan'!A29</x:f>
        <x:v>T026</x:v>
      </x:c>
      <x:c r="B29" s="41" t="str">
        <x:f>'Trial Plan'!B29</x:f>
        <x:v>P02</x:v>
      </x:c>
      <x:c r="C29" s="41" t="str">
        <x:f>'Trial Plan'!H29</x:f>
        <x:v>Edit Decorator</x:v>
      </x:c>
      <x:c r="D29" s="41" t="str">
        <x:f>'Trial Plan'!I29</x:f>
        <x:v>Collapse</x:v>
      </x:c>
      <x:c r="E29" s="41" t="str">
        <x:f>'Trial Plan'!K29</x:f>
        <x:v>search</x:v>
      </x:c>
      <x:c r="F29" s="41" t="n">
        <x:f>'Trial Plan'!L29</x:f>
        <x:v>159</x:v>
      </x:c>
      <x:c r="G29" s="41" t="str">
        <x:f>'Trial Plan'!M29</x:f>
        <x:v>Search Leg Limit 1</x:v>
      </x:c>
      <x:c r="H29" s="85"/>
      <x:c r="I29" s="86"/>
      <x:c r="J29" s="86"/>
      <x:c r="K29" s="86"/>
      <x:c r="L29" s="53"/>
      <x:c r="M29" s="86"/>
      <x:c r="N29" s="86"/>
      <x:c r="O29" s="53"/>
      <x:c r="P29" s="53"/>
      <x:c r="Q29" s="53"/>
      <x:c r="R29" s="53"/>
      <x:c r="S29" s="53"/>
      <x:c r="T29" s="53"/>
    </x:row>
    <x:row r="30">
      <x:c r="A30" s="41" t="str">
        <x:f>'Trial Plan'!A30</x:f>
        <x:v>T027</x:v>
      </x:c>
      <x:c r="B30" s="41" t="str">
        <x:f>'Trial Plan'!B30</x:f>
        <x:v>P02</x:v>
      </x:c>
      <x:c r="C30" s="41" t="str">
        <x:f>'Trial Plan'!H30</x:f>
        <x:v>Edit Decorator</x:v>
      </x:c>
      <x:c r="D30" s="41" t="str">
        <x:f>'Trial Plan'!I30</x:f>
        <x:v>Baseline</x:v>
      </x:c>
      <x:c r="E30" s="41" t="str">
        <x:f>'Trial Plan'!K30</x:f>
        <x:v>pressure</x:v>
      </x:c>
      <x:c r="F30" s="41" t="n">
        <x:f>'Trial Plan'!L30</x:f>
        <x:v>114</x:v>
      </x:c>
      <x:c r="G30" s="41" t="str">
        <x:f>'Trial Plan'!M30</x:f>
        <x:v>Pressure Cooldown 1</x:v>
      </x:c>
      <x:c r="H30" s="85"/>
      <x:c r="I30" s="86"/>
      <x:c r="J30" s="86"/>
      <x:c r="K30" s="86"/>
      <x:c r="L30" s="53"/>
      <x:c r="M30" s="86"/>
      <x:c r="N30" s="86"/>
      <x:c r="O30" s="53"/>
      <x:c r="P30" s="53"/>
      <x:c r="Q30" s="53"/>
      <x:c r="R30" s="53"/>
      <x:c r="S30" s="53"/>
      <x:c r="T30" s="53"/>
    </x:row>
    <x:row r="31">
      <x:c r="A31" s="41" t="str">
        <x:f>'Trial Plan'!A31</x:f>
        <x:v>T028</x:v>
      </x:c>
      <x:c r="B31" s="41" t="str">
        <x:f>'Trial Plan'!B31</x:f>
        <x:v>P02</x:v>
      </x:c>
      <x:c r="C31" s="41" t="str">
        <x:f>'Trial Plan'!H31</x:f>
        <x:v>Edit Decorator</x:v>
      </x:c>
      <x:c r="D31" s="41" t="str">
        <x:f>'Trial Plan'!I31</x:f>
        <x:v>Fisheye</x:v>
      </x:c>
      <x:c r="E31" s="41" t="str">
        <x:f>'Trial Plan'!K31</x:f>
        <x:v>return</x:v>
      </x:c>
      <x:c r="F31" s="41" t="n">
        <x:f>'Trial Plan'!L31</x:f>
        <x:v>182</x:v>
      </x:c>
      <x:c r="G31" s="41" t="str">
        <x:f>'Trial Plan'!M31</x:f>
        <x:v>Return Step Limit 1</x:v>
      </x:c>
      <x:c r="H31" s="85"/>
      <x:c r="I31" s="86"/>
      <x:c r="J31" s="86"/>
      <x:c r="K31" s="86"/>
      <x:c r="L31" s="53"/>
      <x:c r="M31" s="86"/>
      <x:c r="N31" s="86"/>
      <x:c r="O31" s="53"/>
      <x:c r="P31" s="53"/>
      <x:c r="Q31" s="53"/>
      <x:c r="R31" s="53"/>
      <x:c r="S31" s="53"/>
      <x:c r="T31" s="53"/>
    </x:row>
    <x:row r="32">
      <x:c r="A32" s="41" t="str">
        <x:f>'Trial Plan'!A32</x:f>
        <x:v>T029</x:v>
      </x:c>
      <x:c r="B32" s="41" t="str">
        <x:f>'Trial Plan'!B32</x:f>
        <x:v>P02</x:v>
      </x:c>
      <x:c r="C32" s="41" t="str">
        <x:f>'Trial Plan'!H32</x:f>
        <x:v>Edit Decorator</x:v>
      </x:c>
      <x:c r="D32" s="41" t="str">
        <x:f>'Trial Plan'!I32</x:f>
        <x:v>Minimap</x:v>
      </x:c>
      <x:c r="E32" s="41" t="str">
        <x:f>'Trial Plan'!K32</x:f>
        <x:v>defense</x:v>
      </x:c>
      <x:c r="F32" s="41" t="n">
        <x:f>'Trial Plan'!L32</x:f>
        <x:v>31</x:v>
      </x:c>
      <x:c r="G32" s="41" t="str">
        <x:f>'Trial Plan'!M32</x:f>
        <x:v>Defense Cooldown 1</x:v>
      </x:c>
      <x:c r="H32" s="85"/>
      <x:c r="I32" s="86"/>
      <x:c r="J32" s="86"/>
      <x:c r="K32" s="86"/>
      <x:c r="L32" s="53"/>
      <x:c r="M32" s="86"/>
      <x:c r="N32" s="86"/>
      <x:c r="O32" s="53"/>
      <x:c r="P32" s="53"/>
      <x:c r="Q32" s="53"/>
      <x:c r="R32" s="53"/>
      <x:c r="S32" s="53"/>
      <x:c r="T32" s="53"/>
    </x:row>
    <x:row r="33">
      <x:c r="A33" s="41" t="str">
        <x:f>'Trial Plan'!A33</x:f>
        <x:v>T030</x:v>
      </x:c>
      <x:c r="B33" s="41" t="str">
        <x:f>'Trial Plan'!B33</x:f>
        <x:v>P02</x:v>
      </x:c>
      <x:c r="C33" s="41" t="str">
        <x:f>'Trial Plan'!H33</x:f>
        <x:v>Edit Decorator</x:v>
      </x:c>
      <x:c r="D33" s="41" t="str">
        <x:f>'Trial Plan'!I33</x:f>
        <x:v>Search</x:v>
      </x:c>
      <x:c r="E33" s="41" t="str">
        <x:f>'Trial Plan'!K33</x:f>
        <x:v>patrol</x:v>
      </x:c>
      <x:c r="F33" s="41" t="n">
        <x:f>'Trial Plan'!L33</x:f>
        <x:v>202</x:v>
      </x:c>
      <x:c r="G33" s="41" t="str">
        <x:f>'Trial Plan'!M33</x:f>
        <x:v>Patrol Leg Limit 1</x:v>
      </x:c>
      <x:c r="H33" s="85"/>
      <x:c r="I33" s="86"/>
      <x:c r="J33" s="86"/>
      <x:c r="K33" s="86"/>
      <x:c r="L33" s="53"/>
      <x:c r="M33" s="86"/>
      <x:c r="N33" s="86"/>
      <x:c r="O33" s="53"/>
      <x:c r="P33" s="53"/>
      <x:c r="Q33" s="53"/>
      <x:c r="R33" s="53"/>
      <x:c r="S33" s="53"/>
      <x:c r="T33" s="53"/>
    </x:row>
    <x:row r="34">
      <x:c r="A34" s="41" t="str">
        <x:f>'Trial Plan'!A34</x:f>
        <x:v>T031</x:v>
      </x:c>
      <x:c r="B34" s="41" t="str">
        <x:f>'Trial Plan'!B34</x:f>
        <x:v>P02</x:v>
      </x:c>
      <x:c r="C34" s="41" t="str">
        <x:f>'Trial Plan'!H34</x:f>
        <x:v>Locate Action</x:v>
      </x:c>
      <x:c r="D34" s="41" t="str">
        <x:f>'Trial Plan'!I34</x:f>
        <x:v>Compact</x:v>
      </x:c>
      <x:c r="E34" s="41" t="str">
        <x:f>'Trial Plan'!K34</x:f>
        <x:v>ranged</x:v>
      </x:c>
      <x:c r="F34" s="41" t="n">
        <x:f>'Trial Plan'!L34</x:f>
        <x:v>101</x:v>
      </x:c>
      <x:c r="G34" s="41" t="str">
        <x:f>'Trial Plan'!M34</x:f>
        <x:v>Fire Projectile 1</x:v>
      </x:c>
      <x:c r="H34" s="85"/>
      <x:c r="I34" s="86"/>
      <x:c r="J34" s="86"/>
      <x:c r="K34" s="86"/>
      <x:c r="L34" s="53"/>
      <x:c r="M34" s="86"/>
      <x:c r="N34" s="86"/>
      <x:c r="O34" s="53"/>
      <x:c r="P34" s="53"/>
      <x:c r="Q34" s="53"/>
      <x:c r="R34" s="53"/>
      <x:c r="S34" s="53"/>
      <x:c r="T34" s="53"/>
    </x:row>
    <x:row r="35">
      <x:c r="A35" s="41" t="str">
        <x:f>'Trial Plan'!A35</x:f>
        <x:v>T032</x:v>
      </x:c>
      <x:c r="B35" s="41" t="str">
        <x:f>'Trial Plan'!B35</x:f>
        <x:v>P02</x:v>
      </x:c>
      <x:c r="C35" s="41" t="str">
        <x:f>'Trial Plan'!H35</x:f>
        <x:v>Locate Action</x:v>
      </x:c>
      <x:c r="D35" s="41" t="str">
        <x:f>'Trial Plan'!I35</x:f>
        <x:v>Collapse</x:v>
      </x:c>
      <x:c r="E35" s="41" t="str">
        <x:f>'Trial Plan'!K35</x:f>
        <x:v>pressure</x:v>
      </x:c>
      <x:c r="F35" s="41" t="n">
        <x:f>'Trial Plan'!L35</x:f>
        <x:v>113</x:v>
      </x:c>
      <x:c r="G35" s="41" t="str">
        <x:f>'Trial Plan'!M35</x:f>
        <x:v>Pressure Advance 1</x:v>
      </x:c>
      <x:c r="H35" s="85"/>
      <x:c r="I35" s="86"/>
      <x:c r="J35" s="86"/>
      <x:c r="K35" s="86"/>
      <x:c r="L35" s="53"/>
      <x:c r="M35" s="86"/>
      <x:c r="N35" s="86"/>
      <x:c r="O35" s="53"/>
      <x:c r="P35" s="53"/>
      <x:c r="Q35" s="53"/>
      <x:c r="R35" s="53"/>
      <x:c r="S35" s="53"/>
      <x:c r="T35" s="53"/>
    </x:row>
    <x:row r="36">
      <x:c r="A36" s="41" t="str">
        <x:f>'Trial Plan'!A36</x:f>
        <x:v>T033</x:v>
      </x:c>
      <x:c r="B36" s="41" t="str">
        <x:f>'Trial Plan'!B36</x:f>
        <x:v>P02</x:v>
      </x:c>
      <x:c r="C36" s="41" t="str">
        <x:f>'Trial Plan'!H36</x:f>
        <x:v>Locate Action</x:v>
      </x:c>
      <x:c r="D36" s="41" t="str">
        <x:f>'Trial Plan'!I36</x:f>
        <x:v>Baseline</x:v>
      </x:c>
      <x:c r="E36" s="41" t="str">
        <x:f>'Trial Plan'!K36</x:f>
        <x:v>vertical</x:v>
      </x:c>
      <x:c r="F36" s="41" t="n">
        <x:f>'Trial Plan'!L36</x:f>
        <x:v>91</x:v>
      </x:c>
      <x:c r="G36" s="41" t="str">
        <x:f>'Trial Plan'!M36</x:f>
        <x:v>Climb Ladder 1</x:v>
      </x:c>
      <x:c r="H36" s="85"/>
      <x:c r="I36" s="86"/>
      <x:c r="J36" s="86"/>
      <x:c r="K36" s="86"/>
      <x:c r="L36" s="53"/>
      <x:c r="M36" s="86"/>
      <x:c r="N36" s="86"/>
      <x:c r="O36" s="53"/>
      <x:c r="P36" s="53"/>
      <x:c r="Q36" s="53"/>
      <x:c r="R36" s="53"/>
      <x:c r="S36" s="53"/>
      <x:c r="T36" s="53"/>
    </x:row>
    <x:row r="37">
      <x:c r="A37" s="41" t="str">
        <x:f>'Trial Plan'!A37</x:f>
        <x:v>T034</x:v>
      </x:c>
      <x:c r="B37" s="41" t="str">
        <x:f>'Trial Plan'!B37</x:f>
        <x:v>P02</x:v>
      </x:c>
      <x:c r="C37" s="41" t="str">
        <x:f>'Trial Plan'!H37</x:f>
        <x:v>Locate Action</x:v>
      </x:c>
      <x:c r="D37" s="41" t="str">
        <x:f>'Trial Plan'!I37</x:f>
        <x:v>Fisheye</x:v>
      </x:c>
      <x:c r="E37" s="41" t="str">
        <x:f>'Trial Plan'!K37</x:f>
        <x:v>search</x:v>
      </x:c>
      <x:c r="F37" s="41" t="n">
        <x:f>'Trial Plan'!L37</x:f>
        <x:v>156</x:v>
      </x:c>
      <x:c r="G37" s="41" t="str">
        <x:f>'Trial Plan'!M37</x:f>
        <x:v>Search Movement 1</x:v>
      </x:c>
      <x:c r="H37" s="85"/>
      <x:c r="I37" s="86"/>
      <x:c r="J37" s="86"/>
      <x:c r="K37" s="86"/>
      <x:c r="L37" s="53"/>
      <x:c r="M37" s="86"/>
      <x:c r="N37" s="86"/>
      <x:c r="O37" s="53"/>
      <x:c r="P37" s="53"/>
      <x:c r="Q37" s="53"/>
      <x:c r="R37" s="53"/>
      <x:c r="S37" s="53"/>
      <x:c r="T37" s="53"/>
    </x:row>
    <x:row r="38">
      <x:c r="A38" s="41" t="str">
        <x:f>'Trial Plan'!A38</x:f>
        <x:v>T035</x:v>
      </x:c>
      <x:c r="B38" s="41" t="str">
        <x:f>'Trial Plan'!B38</x:f>
        <x:v>P02</x:v>
      </x:c>
      <x:c r="C38" s="41" t="str">
        <x:f>'Trial Plan'!H38</x:f>
        <x:v>Locate Action</x:v>
      </x:c>
      <x:c r="D38" s="41" t="str">
        <x:f>'Trial Plan'!I38</x:f>
        <x:v>Minimap</x:v>
      </x:c>
      <x:c r="E38" s="41" t="str">
        <x:f>'Trial Plan'!K38</x:f>
        <x:v>obstacle</x:v>
      </x:c>
      <x:c r="F38" s="41" t="n">
        <x:f>'Trial Plan'!L38</x:f>
        <x:v>83</x:v>
      </x:c>
      <x:c r="G38" s="41" t="str">
        <x:f>'Trial Plan'!M38</x:f>
        <x:v>Jump Obstacle 1</x:v>
      </x:c>
      <x:c r="H38" s="85"/>
      <x:c r="I38" s="86"/>
      <x:c r="J38" s="86"/>
      <x:c r="K38" s="86"/>
      <x:c r="L38" s="53"/>
      <x:c r="M38" s="86"/>
      <x:c r="N38" s="86"/>
      <x:c r="O38" s="53"/>
      <x:c r="P38" s="53"/>
      <x:c r="Q38" s="53"/>
      <x:c r="R38" s="53"/>
      <x:c r="S38" s="53"/>
      <x:c r="T38" s="53"/>
    </x:row>
    <x:row r="39">
      <x:c r="A39" s="41" t="str">
        <x:f>'Trial Plan'!A39</x:f>
        <x:v>T036</x:v>
      </x:c>
      <x:c r="B39" s="41" t="str">
        <x:f>'Trial Plan'!B39</x:f>
        <x:v>P02</x:v>
      </x:c>
      <x:c r="C39" s="41" t="str">
        <x:f>'Trial Plan'!H39</x:f>
        <x:v>Locate Action</x:v>
      </x:c>
      <x:c r="D39" s="41" t="str">
        <x:f>'Trial Plan'!I39</x:f>
        <x:v>Search</x:v>
      </x:c>
      <x:c r="E39" s="41" t="str">
        <x:f>'Trial Plan'!K39</x:f>
        <x:v>patrol</x:v>
      </x:c>
      <x:c r="F39" s="41" t="n">
        <x:f>'Trial Plan'!L39</x:f>
        <x:v>201</x:v>
      </x:c>
      <x:c r="G39" s="41" t="str">
        <x:f>'Trial Plan'!M39</x:f>
        <x:v>Observe Patrol Point 1</x:v>
      </x:c>
      <x:c r="H39" s="85"/>
      <x:c r="I39" s="86"/>
      <x:c r="J39" s="86"/>
      <x:c r="K39" s="86"/>
      <x:c r="L39" s="53"/>
      <x:c r="M39" s="86"/>
      <x:c r="N39" s="86"/>
      <x:c r="O39" s="53"/>
      <x:c r="P39" s="53"/>
      <x:c r="Q39" s="53"/>
      <x:c r="R39" s="53"/>
      <x:c r="S39" s="53"/>
      <x:c r="T39" s="53"/>
    </x:row>
    <x:row r="40">
      <x:c r="A40" s="41" t="str">
        <x:f>'Trial Plan'!A40</x:f>
        <x:v>T037</x:v>
      </x:c>
      <x:c r="B40" s="41" t="str">
        <x:f>'Trial Plan'!B40</x:f>
        <x:v>P03</x:v>
      </x:c>
      <x:c r="C40" s="41" t="str">
        <x:f>'Trial Plan'!H40</x:f>
        <x:v>Edit Decorator</x:v>
      </x:c>
      <x:c r="D40" s="41" t="str">
        <x:f>'Trial Plan'!I40</x:f>
        <x:v>Collapse</x:v>
      </x:c>
      <x:c r="E40" s="41" t="str">
        <x:f>'Trial Plan'!K40</x:f>
        <x:v>return</x:v>
      </x:c>
      <x:c r="F40" s="41" t="n">
        <x:f>'Trial Plan'!L40</x:f>
        <x:v>182</x:v>
      </x:c>
      <x:c r="G40" s="41" t="str">
        <x:f>'Trial Plan'!M40</x:f>
        <x:v>Return Step Limit 1</x:v>
      </x:c>
      <x:c r="H40" s="85"/>
      <x:c r="I40" s="86"/>
      <x:c r="J40" s="86"/>
      <x:c r="K40" s="86"/>
      <x:c r="L40" s="53"/>
      <x:c r="M40" s="86"/>
      <x:c r="N40" s="86"/>
      <x:c r="O40" s="53"/>
      <x:c r="P40" s="53"/>
      <x:c r="Q40" s="53"/>
      <x:c r="R40" s="53"/>
      <x:c r="S40" s="53"/>
      <x:c r="T40" s="53"/>
    </x:row>
    <x:row r="41">
      <x:c r="A41" s="41" t="str">
        <x:f>'Trial Plan'!A41</x:f>
        <x:v>T038</x:v>
      </x:c>
      <x:c r="B41" s="41" t="str">
        <x:f>'Trial Plan'!B41</x:f>
        <x:v>P03</x:v>
      </x:c>
      <x:c r="C41" s="41" t="str">
        <x:f>'Trial Plan'!H41</x:f>
        <x:v>Edit Decorator</x:v>
      </x:c>
      <x:c r="D41" s="41" t="str">
        <x:f>'Trial Plan'!I41</x:f>
        <x:v>Fisheye</x:v>
      </x:c>
      <x:c r="E41" s="41" t="str">
        <x:f>'Trial Plan'!K41</x:f>
        <x:v>patrol</x:v>
      </x:c>
      <x:c r="F41" s="41" t="n">
        <x:f>'Trial Plan'!L41</x:f>
        <x:v>202</x:v>
      </x:c>
      <x:c r="G41" s="41" t="str">
        <x:f>'Trial Plan'!M41</x:f>
        <x:v>Patrol Leg Limit 1</x:v>
      </x:c>
      <x:c r="H41" s="85"/>
      <x:c r="I41" s="86"/>
      <x:c r="J41" s="86"/>
      <x:c r="K41" s="86"/>
      <x:c r="L41" s="53"/>
      <x:c r="M41" s="86"/>
      <x:c r="N41" s="86"/>
      <x:c r="O41" s="53"/>
      <x:c r="P41" s="53"/>
      <x:c r="Q41" s="53"/>
      <x:c r="R41" s="53"/>
      <x:c r="S41" s="53"/>
      <x:c r="T41" s="53"/>
    </x:row>
    <x:row r="42">
      <x:c r="A42" s="41" t="str">
        <x:f>'Trial Plan'!A42</x:f>
        <x:v>T039</x:v>
      </x:c>
      <x:c r="B42" s="41" t="str">
        <x:f>'Trial Plan'!B42</x:f>
        <x:v>P03</x:v>
      </x:c>
      <x:c r="C42" s="41" t="str">
        <x:f>'Trial Plan'!H42</x:f>
        <x:v>Edit Decorator</x:v>
      </x:c>
      <x:c r="D42" s="41" t="str">
        <x:f>'Trial Plan'!I42</x:f>
        <x:v>Compact</x:v>
      </x:c>
      <x:c r="E42" s="41" t="str">
        <x:f>'Trial Plan'!K42</x:f>
        <x:v>search</x:v>
      </x:c>
      <x:c r="F42" s="41" t="n">
        <x:f>'Trial Plan'!L42</x:f>
        <x:v>159</x:v>
      </x:c>
      <x:c r="G42" s="41" t="str">
        <x:f>'Trial Plan'!M42</x:f>
        <x:v>Search Leg Limit 1</x:v>
      </x:c>
      <x:c r="H42" s="85"/>
      <x:c r="I42" s="86"/>
      <x:c r="J42" s="86"/>
      <x:c r="K42" s="86"/>
      <x:c r="L42" s="53"/>
      <x:c r="M42" s="86"/>
      <x:c r="N42" s="86"/>
      <x:c r="O42" s="53"/>
      <x:c r="P42" s="53"/>
      <x:c r="Q42" s="53"/>
      <x:c r="R42" s="53"/>
      <x:c r="S42" s="53"/>
      <x:c r="T42" s="53"/>
    </x:row>
    <x:row r="43">
      <x:c r="A43" s="41" t="str">
        <x:f>'Trial Plan'!A43</x:f>
        <x:v>T040</x:v>
      </x:c>
      <x:c r="B43" s="41" t="str">
        <x:f>'Trial Plan'!B43</x:f>
        <x:v>P03</x:v>
      </x:c>
      <x:c r="C43" s="41" t="str">
        <x:f>'Trial Plan'!H43</x:f>
        <x:v>Edit Decorator</x:v>
      </x:c>
      <x:c r="D43" s="41" t="str">
        <x:f>'Trial Plan'!I43</x:f>
        <x:v>Search</x:v>
      </x:c>
      <x:c r="E43" s="41" t="str">
        <x:f>'Trial Plan'!K43</x:f>
        <x:v>defense</x:v>
      </x:c>
      <x:c r="F43" s="41" t="n">
        <x:f>'Trial Plan'!L43</x:f>
        <x:v>31</x:v>
      </x:c>
      <x:c r="G43" s="41" t="str">
        <x:f>'Trial Plan'!M43</x:f>
        <x:v>Defense Cooldown 1</x:v>
      </x:c>
      <x:c r="H43" s="85"/>
      <x:c r="I43" s="86"/>
      <x:c r="J43" s="86"/>
      <x:c r="K43" s="86"/>
      <x:c r="L43" s="53"/>
      <x:c r="M43" s="86"/>
      <x:c r="N43" s="86"/>
      <x:c r="O43" s="53"/>
      <x:c r="P43" s="53"/>
      <x:c r="Q43" s="53"/>
      <x:c r="R43" s="53"/>
      <x:c r="S43" s="53"/>
      <x:c r="T43" s="53"/>
    </x:row>
    <x:row r="44">
      <x:c r="A44" s="41" t="str">
        <x:f>'Trial Plan'!A44</x:f>
        <x:v>T041</x:v>
      </x:c>
      <x:c r="B44" s="41" t="str">
        <x:f>'Trial Plan'!B44</x:f>
        <x:v>P03</x:v>
      </x:c>
      <x:c r="C44" s="41" t="str">
        <x:f>'Trial Plan'!H44</x:f>
        <x:v>Edit Decorator</x:v>
      </x:c>
      <x:c r="D44" s="41" t="str">
        <x:f>'Trial Plan'!I44</x:f>
        <x:v>Baseline</x:v>
      </x:c>
      <x:c r="E44" s="41" t="str">
        <x:f>'Trial Plan'!K44</x:f>
        <x:v>chase</x:v>
      </x:c>
      <x:c r="F44" s="41" t="n">
        <x:f>'Trial Plan'!L44</x:f>
        <x:v>133</x:v>
      </x:c>
      <x:c r="G44" s="41" t="str">
        <x:f>'Trial Plan'!M44</x:f>
        <x:v>Chase Step Limit 1</x:v>
      </x:c>
      <x:c r="H44" s="85"/>
      <x:c r="I44" s="86"/>
      <x:c r="J44" s="86"/>
      <x:c r="K44" s="86"/>
      <x:c r="L44" s="53"/>
      <x:c r="M44" s="86"/>
      <x:c r="N44" s="86"/>
      <x:c r="O44" s="53"/>
      <x:c r="P44" s="53"/>
      <x:c r="Q44" s="53"/>
      <x:c r="R44" s="53"/>
      <x:c r="S44" s="53"/>
      <x:c r="T44" s="53"/>
    </x:row>
    <x:row r="45">
      <x:c r="A45" s="41" t="str">
        <x:f>'Trial Plan'!A45</x:f>
        <x:v>T042</x:v>
      </x:c>
      <x:c r="B45" s="41" t="str">
        <x:f>'Trial Plan'!B45</x:f>
        <x:v>P03</x:v>
      </x:c>
      <x:c r="C45" s="41" t="str">
        <x:f>'Trial Plan'!H45</x:f>
        <x:v>Edit Decorator</x:v>
      </x:c>
      <x:c r="D45" s="41" t="str">
        <x:f>'Trial Plan'!I45</x:f>
        <x:v>Minimap</x:v>
      </x:c>
      <x:c r="E45" s="41" t="str">
        <x:f>'Trial Plan'!K45</x:f>
        <x:v>pressure</x:v>
      </x:c>
      <x:c r="F45" s="41" t="n">
        <x:f>'Trial Plan'!L45</x:f>
        <x:v>114</x:v>
      </x:c>
      <x:c r="G45" s="41" t="str">
        <x:f>'Trial Plan'!M45</x:f>
        <x:v>Pressure Cooldown 1</x:v>
      </x:c>
      <x:c r="H45" s="85"/>
      <x:c r="I45" s="86"/>
      <x:c r="J45" s="86"/>
      <x:c r="K45" s="86"/>
      <x:c r="L45" s="53"/>
      <x:c r="M45" s="86"/>
      <x:c r="N45" s="86"/>
      <x:c r="O45" s="53"/>
      <x:c r="P45" s="53"/>
      <x:c r="Q45" s="53"/>
      <x:c r="R45" s="53"/>
      <x:c r="S45" s="53"/>
      <x:c r="T45" s="53"/>
    </x:row>
    <x:row r="46">
      <x:c r="A46" s="41" t="str">
        <x:f>'Trial Plan'!A46</x:f>
        <x:v>T043</x:v>
      </x:c>
      <x:c r="B46" s="41" t="str">
        <x:f>'Trial Plan'!B46</x:f>
        <x:v>P03</x:v>
      </x:c>
      <x:c r="C46" s="41" t="str">
        <x:f>'Trial Plan'!H46</x:f>
        <x:v>Locate Action</x:v>
      </x:c>
      <x:c r="D46" s="41" t="str">
        <x:f>'Trial Plan'!I46</x:f>
        <x:v>Collapse</x:v>
      </x:c>
      <x:c r="E46" s="41" t="str">
        <x:f>'Trial Plan'!K46</x:f>
        <x:v>search</x:v>
      </x:c>
      <x:c r="F46" s="41" t="n">
        <x:f>'Trial Plan'!L46</x:f>
        <x:v>156</x:v>
      </x:c>
      <x:c r="G46" s="41" t="str">
        <x:f>'Trial Plan'!M46</x:f>
        <x:v>Search Movement 1</x:v>
      </x:c>
      <x:c r="H46" s="85"/>
      <x:c r="I46" s="86"/>
      <x:c r="J46" s="86"/>
      <x:c r="K46" s="86"/>
      <x:c r="L46" s="53"/>
      <x:c r="M46" s="86"/>
      <x:c r="N46" s="86"/>
      <x:c r="O46" s="53"/>
      <x:c r="P46" s="53"/>
      <x:c r="Q46" s="53"/>
      <x:c r="R46" s="53"/>
      <x:c r="S46" s="53"/>
      <x:c r="T46" s="53"/>
    </x:row>
    <x:row r="47">
      <x:c r="A47" s="41" t="str">
        <x:f>'Trial Plan'!A47</x:f>
        <x:v>T044</x:v>
      </x:c>
      <x:c r="B47" s="41" t="str">
        <x:f>'Trial Plan'!B47</x:f>
        <x:v>P03</x:v>
      </x:c>
      <x:c r="C47" s="41" t="str">
        <x:f>'Trial Plan'!H47</x:f>
        <x:v>Locate Action</x:v>
      </x:c>
      <x:c r="D47" s="41" t="str">
        <x:f>'Trial Plan'!I47</x:f>
        <x:v>Fisheye</x:v>
      </x:c>
      <x:c r="E47" s="41" t="str">
        <x:f>'Trial Plan'!K47</x:f>
        <x:v>patrol</x:v>
      </x:c>
      <x:c r="F47" s="41" t="n">
        <x:f>'Trial Plan'!L47</x:f>
        <x:v>201</x:v>
      </x:c>
      <x:c r="G47" s="41" t="str">
        <x:f>'Trial Plan'!M47</x:f>
        <x:v>Observe Patrol Point 1</x:v>
      </x:c>
      <x:c r="H47" s="85"/>
      <x:c r="I47" s="86"/>
      <x:c r="J47" s="86"/>
      <x:c r="K47" s="86"/>
      <x:c r="L47" s="53"/>
      <x:c r="M47" s="86"/>
      <x:c r="N47" s="86"/>
      <x:c r="O47" s="53"/>
      <x:c r="P47" s="53"/>
      <x:c r="Q47" s="53"/>
      <x:c r="R47" s="53"/>
      <x:c r="S47" s="53"/>
      <x:c r="T47" s="53"/>
    </x:row>
    <x:row r="48">
      <x:c r="A48" s="41" t="str">
        <x:f>'Trial Plan'!A48</x:f>
        <x:v>T045</x:v>
      </x:c>
      <x:c r="B48" s="41" t="str">
        <x:f>'Trial Plan'!B48</x:f>
        <x:v>P03</x:v>
      </x:c>
      <x:c r="C48" s="41" t="str">
        <x:f>'Trial Plan'!H48</x:f>
        <x:v>Locate Action</x:v>
      </x:c>
      <x:c r="D48" s="41" t="str">
        <x:f>'Trial Plan'!I48</x:f>
        <x:v>Compact</x:v>
      </x:c>
      <x:c r="E48" s="41" t="str">
        <x:f>'Trial Plan'!K48</x:f>
        <x:v>pressure</x:v>
      </x:c>
      <x:c r="F48" s="41" t="n">
        <x:f>'Trial Plan'!L48</x:f>
        <x:v>113</x:v>
      </x:c>
      <x:c r="G48" s="41" t="str">
        <x:f>'Trial Plan'!M48</x:f>
        <x:v>Pressure Advance 1</x:v>
      </x:c>
      <x:c r="H48" s="85"/>
      <x:c r="I48" s="86"/>
      <x:c r="J48" s="86"/>
      <x:c r="K48" s="86"/>
      <x:c r="L48" s="53"/>
      <x:c r="M48" s="86"/>
      <x:c r="N48" s="86"/>
      <x:c r="O48" s="53"/>
      <x:c r="P48" s="53"/>
      <x:c r="Q48" s="53"/>
      <x:c r="R48" s="53"/>
      <x:c r="S48" s="53"/>
      <x:c r="T48" s="53"/>
    </x:row>
    <x:row r="49">
      <x:c r="A49" s="41" t="str">
        <x:f>'Trial Plan'!A49</x:f>
        <x:v>T046</x:v>
      </x:c>
      <x:c r="B49" s="41" t="str">
        <x:f>'Trial Plan'!B49</x:f>
        <x:v>P03</x:v>
      </x:c>
      <x:c r="C49" s="41" t="str">
        <x:f>'Trial Plan'!H49</x:f>
        <x:v>Locate Action</x:v>
      </x:c>
      <x:c r="D49" s="41" t="str">
        <x:f>'Trial Plan'!I49</x:f>
        <x:v>Search</x:v>
      </x:c>
      <x:c r="E49" s="41" t="str">
        <x:f>'Trial Plan'!K49</x:f>
        <x:v>obstacle</x:v>
      </x:c>
      <x:c r="F49" s="41" t="n">
        <x:f>'Trial Plan'!L49</x:f>
        <x:v>83</x:v>
      </x:c>
      <x:c r="G49" s="41" t="str">
        <x:f>'Trial Plan'!M49</x:f>
        <x:v>Jump Obstacle 1</x:v>
      </x:c>
      <x:c r="H49" s="85"/>
      <x:c r="I49" s="86"/>
      <x:c r="J49" s="86"/>
      <x:c r="K49" s="86"/>
      <x:c r="L49" s="53"/>
      <x:c r="M49" s="86"/>
      <x:c r="N49" s="86"/>
      <x:c r="O49" s="53"/>
      <x:c r="P49" s="53"/>
      <x:c r="Q49" s="53"/>
      <x:c r="R49" s="53"/>
      <x:c r="S49" s="53"/>
      <x:c r="T49" s="53"/>
    </x:row>
    <x:row r="50">
      <x:c r="A50" s="41" t="str">
        <x:f>'Trial Plan'!A50</x:f>
        <x:v>T047</x:v>
      </x:c>
      <x:c r="B50" s="41" t="str">
        <x:f>'Trial Plan'!B50</x:f>
        <x:v>P03</x:v>
      </x:c>
      <x:c r="C50" s="41" t="str">
        <x:f>'Trial Plan'!H50</x:f>
        <x:v>Locate Action</x:v>
      </x:c>
      <x:c r="D50" s="41" t="str">
        <x:f>'Trial Plan'!I50</x:f>
        <x:v>Baseline</x:v>
      </x:c>
      <x:c r="E50" s="41" t="str">
        <x:f>'Trial Plan'!K50</x:f>
        <x:v>ranged</x:v>
      </x:c>
      <x:c r="F50" s="41" t="n">
        <x:f>'Trial Plan'!L50</x:f>
        <x:v>101</x:v>
      </x:c>
      <x:c r="G50" s="41" t="str">
        <x:f>'Trial Plan'!M50</x:f>
        <x:v>Fire Projectile 1</x:v>
      </x:c>
      <x:c r="H50" s="85"/>
      <x:c r="I50" s="86"/>
      <x:c r="J50" s="86"/>
      <x:c r="K50" s="86"/>
      <x:c r="L50" s="53"/>
      <x:c r="M50" s="86"/>
      <x:c r="N50" s="86"/>
      <x:c r="O50" s="53"/>
      <x:c r="P50" s="53"/>
      <x:c r="Q50" s="53"/>
      <x:c r="R50" s="53"/>
      <x:c r="S50" s="53"/>
      <x:c r="T50" s="53"/>
    </x:row>
    <x:row r="51">
      <x:c r="A51" s="41" t="str">
        <x:f>'Trial Plan'!A51</x:f>
        <x:v>T048</x:v>
      </x:c>
      <x:c r="B51" s="41" t="str">
        <x:f>'Trial Plan'!B51</x:f>
        <x:v>P03</x:v>
      </x:c>
      <x:c r="C51" s="41" t="str">
        <x:f>'Trial Plan'!H51</x:f>
        <x:v>Locate Action</x:v>
      </x:c>
      <x:c r="D51" s="41" t="str">
        <x:f>'Trial Plan'!I51</x:f>
        <x:v>Minimap</x:v>
      </x:c>
      <x:c r="E51" s="41" t="str">
        <x:f>'Trial Plan'!K51</x:f>
        <x:v>vertical</x:v>
      </x:c>
      <x:c r="F51" s="41" t="n">
        <x:f>'Trial Plan'!L51</x:f>
        <x:v>91</x:v>
      </x:c>
      <x:c r="G51" s="41" t="str">
        <x:f>'Trial Plan'!M51</x:f>
        <x:v>Climb Ladder 1</x:v>
      </x:c>
      <x:c r="H51" s="85"/>
      <x:c r="I51" s="86"/>
      <x:c r="J51" s="86"/>
      <x:c r="K51" s="86"/>
      <x:c r="L51" s="53"/>
      <x:c r="M51" s="86"/>
      <x:c r="N51" s="86"/>
      <x:c r="O51" s="53"/>
      <x:c r="P51" s="53"/>
      <x:c r="Q51" s="53"/>
      <x:c r="R51" s="53"/>
      <x:c r="S51" s="53"/>
      <x:c r="T51" s="53"/>
    </x:row>
    <x:row r="52">
      <x:c r="A52" s="41" t="str">
        <x:f>'Trial Plan'!A52</x:f>
        <x:v>T049</x:v>
      </x:c>
      <x:c r="B52" s="41" t="str">
        <x:f>'Trial Plan'!B52</x:f>
        <x:v>P03</x:v>
      </x:c>
      <x:c r="C52" s="41" t="str">
        <x:f>'Trial Plan'!H52</x:f>
        <x:v>Trace Active Path</x:v>
      </x:c>
      <x:c r="D52" s="41" t="str">
        <x:f>'Trial Plan'!I52</x:f>
        <x:v>Collapse</x:v>
      </x:c>
      <x:c r="E52" s="41" t="str">
        <x:f>'Trial Plan'!K52</x:f>
        <x:v>search</x:v>
      </x:c>
      <x:c r="F52" s="41" t="n">
        <x:f>'Trial Plan'!L52</x:f>
        <x:v>156</x:v>
      </x:c>
      <x:c r="G52" s="41" t="str">
        <x:f>'Trial Plan'!M52</x:f>
        <x:v>Search Movement 1</x:v>
      </x:c>
      <x:c r="H52" s="85"/>
      <x:c r="I52" s="86"/>
      <x:c r="J52" s="86"/>
      <x:c r="K52" s="86"/>
      <x:c r="L52" s="53"/>
      <x:c r="M52" s="86"/>
      <x:c r="N52" s="86"/>
      <x:c r="O52" s="53"/>
      <x:c r="P52" s="53"/>
      <x:c r="Q52" s="53"/>
      <x:c r="R52" s="53"/>
      <x:c r="S52" s="53"/>
      <x:c r="T52" s="53"/>
    </x:row>
    <x:row r="53">
      <x:c r="A53" s="41" t="str">
        <x:f>'Trial Plan'!A53</x:f>
        <x:v>T050</x:v>
      </x:c>
      <x:c r="B53" s="41" t="str">
        <x:f>'Trial Plan'!B53</x:f>
        <x:v>P03</x:v>
      </x:c>
      <x:c r="C53" s="41" t="str">
        <x:f>'Trial Plan'!H53</x:f>
        <x:v>Trace Active Path</x:v>
      </x:c>
      <x:c r="D53" s="41" t="str">
        <x:f>'Trial Plan'!I53</x:f>
        <x:v>Fisheye</x:v>
      </x:c>
      <x:c r="E53" s="41" t="str">
        <x:f>'Trial Plan'!K53</x:f>
        <x:v>patrol</x:v>
      </x:c>
      <x:c r="F53" s="41" t="n">
        <x:f>'Trial Plan'!L53</x:f>
        <x:v>201</x:v>
      </x:c>
      <x:c r="G53" s="41" t="str">
        <x:f>'Trial Plan'!M53</x:f>
        <x:v>Observe Patrol Point 1</x:v>
      </x:c>
      <x:c r="H53" s="85"/>
      <x:c r="I53" s="86"/>
      <x:c r="J53" s="86"/>
      <x:c r="K53" s="86"/>
      <x:c r="L53" s="53"/>
      <x:c r="M53" s="86"/>
      <x:c r="N53" s="86"/>
      <x:c r="O53" s="53"/>
      <x:c r="P53" s="53"/>
      <x:c r="Q53" s="53"/>
      <x:c r="R53" s="53"/>
      <x:c r="S53" s="53"/>
      <x:c r="T53" s="53"/>
    </x:row>
    <x:row r="54">
      <x:c r="A54" s="41" t="str">
        <x:f>'Trial Plan'!A54</x:f>
        <x:v>T051</x:v>
      </x:c>
      <x:c r="B54" s="41" t="str">
        <x:f>'Trial Plan'!B54</x:f>
        <x:v>P03</x:v>
      </x:c>
      <x:c r="C54" s="41" t="str">
        <x:f>'Trial Plan'!H54</x:f>
        <x:v>Trace Active Path</x:v>
      </x:c>
      <x:c r="D54" s="41" t="str">
        <x:f>'Trial Plan'!I54</x:f>
        <x:v>Compact</x:v>
      </x:c>
      <x:c r="E54" s="41" t="str">
        <x:f>'Trial Plan'!K54</x:f>
        <x:v>pressure</x:v>
      </x:c>
      <x:c r="F54" s="41" t="n">
        <x:f>'Trial Plan'!L54</x:f>
        <x:v>113</x:v>
      </x:c>
      <x:c r="G54" s="41" t="str">
        <x:f>'Trial Plan'!M54</x:f>
        <x:v>Pressure Advance 1</x:v>
      </x:c>
      <x:c r="H54" s="85"/>
      <x:c r="I54" s="86"/>
      <x:c r="J54" s="86"/>
      <x:c r="K54" s="86"/>
      <x:c r="L54" s="53"/>
      <x:c r="M54" s="86"/>
      <x:c r="N54" s="86"/>
      <x:c r="O54" s="53"/>
      <x:c r="P54" s="53"/>
      <x:c r="Q54" s="53"/>
      <x:c r="R54" s="53"/>
      <x:c r="S54" s="53"/>
      <x:c r="T54" s="53"/>
    </x:row>
    <x:row r="55">
      <x:c r="A55" s="41" t="str">
        <x:f>'Trial Plan'!A55</x:f>
        <x:v>T052</x:v>
      </x:c>
      <x:c r="B55" s="41" t="str">
        <x:f>'Trial Plan'!B55</x:f>
        <x:v>P03</x:v>
      </x:c>
      <x:c r="C55" s="41" t="str">
        <x:f>'Trial Plan'!H55</x:f>
        <x:v>Trace Active Path</x:v>
      </x:c>
      <x:c r="D55" s="41" t="str">
        <x:f>'Trial Plan'!I55</x:f>
        <x:v>Search</x:v>
      </x:c>
      <x:c r="E55" s="41" t="str">
        <x:f>'Trial Plan'!K55</x:f>
        <x:v>obstacle</x:v>
      </x:c>
      <x:c r="F55" s="41" t="n">
        <x:f>'Trial Plan'!L55</x:f>
        <x:v>83</x:v>
      </x:c>
      <x:c r="G55" s="41" t="str">
        <x:f>'Trial Plan'!M55</x:f>
        <x:v>Jump Obstacle 1</x:v>
      </x:c>
      <x:c r="H55" s="85"/>
      <x:c r="I55" s="86"/>
      <x:c r="J55" s="86"/>
      <x:c r="K55" s="86"/>
      <x:c r="L55" s="53"/>
      <x:c r="M55" s="86"/>
      <x:c r="N55" s="86"/>
      <x:c r="O55" s="53"/>
      <x:c r="P55" s="53"/>
      <x:c r="Q55" s="53"/>
      <x:c r="R55" s="53"/>
      <x:c r="S55" s="53"/>
      <x:c r="T55" s="53"/>
    </x:row>
    <x:row r="56">
      <x:c r="A56" s="41" t="str">
        <x:f>'Trial Plan'!A56</x:f>
        <x:v>T053</x:v>
      </x:c>
      <x:c r="B56" s="41" t="str">
        <x:f>'Trial Plan'!B56</x:f>
        <x:v>P03</x:v>
      </x:c>
      <x:c r="C56" s="41" t="str">
        <x:f>'Trial Plan'!H56</x:f>
        <x:v>Trace Active Path</x:v>
      </x:c>
      <x:c r="D56" s="41" t="str">
        <x:f>'Trial Plan'!I56</x:f>
        <x:v>Baseline</x:v>
      </x:c>
      <x:c r="E56" s="41" t="str">
        <x:f>'Trial Plan'!K56</x:f>
        <x:v>ranged</x:v>
      </x:c>
      <x:c r="F56" s="41" t="n">
        <x:f>'Trial Plan'!L56</x:f>
        <x:v>101</x:v>
      </x:c>
      <x:c r="G56" s="41" t="str">
        <x:f>'Trial Plan'!M56</x:f>
        <x:v>Fire Projectile 1</x:v>
      </x:c>
      <x:c r="H56" s="85"/>
      <x:c r="I56" s="86"/>
      <x:c r="J56" s="86"/>
      <x:c r="K56" s="86"/>
      <x:c r="L56" s="53"/>
      <x:c r="M56" s="86"/>
      <x:c r="N56" s="86"/>
      <x:c r="O56" s="53"/>
      <x:c r="P56" s="53"/>
      <x:c r="Q56" s="53"/>
      <x:c r="R56" s="53"/>
      <x:c r="S56" s="53"/>
      <x:c r="T56" s="53"/>
    </x:row>
    <x:row r="57">
      <x:c r="A57" s="41" t="str">
        <x:f>'Trial Plan'!A57</x:f>
        <x:v>T054</x:v>
      </x:c>
      <x:c r="B57" s="41" t="str">
        <x:f>'Trial Plan'!B57</x:f>
        <x:v>P03</x:v>
      </x:c>
      <x:c r="C57" s="41" t="str">
        <x:f>'Trial Plan'!H57</x:f>
        <x:v>Trace Active Path</x:v>
      </x:c>
      <x:c r="D57" s="41" t="str">
        <x:f>'Trial Plan'!I57</x:f>
        <x:v>Minimap</x:v>
      </x:c>
      <x:c r="E57" s="41" t="str">
        <x:f>'Trial Plan'!K57</x:f>
        <x:v>vertical</x:v>
      </x:c>
      <x:c r="F57" s="41" t="n">
        <x:f>'Trial Plan'!L57</x:f>
        <x:v>91</x:v>
      </x:c>
      <x:c r="G57" s="41" t="str">
        <x:f>'Trial Plan'!M57</x:f>
        <x:v>Climb Ladder 1</x:v>
      </x:c>
      <x:c r="H57" s="85"/>
      <x:c r="I57" s="86"/>
      <x:c r="J57" s="86"/>
      <x:c r="K57" s="86"/>
      <x:c r="L57" s="53"/>
      <x:c r="M57" s="86"/>
      <x:c r="N57" s="86"/>
      <x:c r="O57" s="53"/>
      <x:c r="P57" s="53"/>
      <x:c r="Q57" s="53"/>
      <x:c r="R57" s="53"/>
      <x:c r="S57" s="53"/>
      <x:c r="T57" s="53"/>
    </x:row>
    <x:row r="58">
      <x:c r="A58" s="41" t="str">
        <x:f>'Trial Plan'!A58</x:f>
        <x:v>T055</x:v>
      </x:c>
      <x:c r="B58" s="41" t="str">
        <x:f>'Trial Plan'!B58</x:f>
        <x:v>P04</x:v>
      </x:c>
      <x:c r="C58" s="41" t="str">
        <x:f>'Trial Plan'!H58</x:f>
        <x:v>Locate Action</x:v>
      </x:c>
      <x:c r="D58" s="41" t="str">
        <x:f>'Trial Plan'!I58</x:f>
        <x:v>Fisheye</x:v>
      </x:c>
      <x:c r="E58" s="41" t="str">
        <x:f>'Trial Plan'!K58</x:f>
        <x:v>obstacle</x:v>
      </x:c>
      <x:c r="F58" s="41" t="n">
        <x:f>'Trial Plan'!L58</x:f>
        <x:v>83</x:v>
      </x:c>
      <x:c r="G58" s="41" t="str">
        <x:f>'Trial Plan'!M58</x:f>
        <x:v>Jump Obstacle 1</x:v>
      </x:c>
      <x:c r="H58" s="85"/>
      <x:c r="I58" s="86"/>
      <x:c r="J58" s="86"/>
      <x:c r="K58" s="86"/>
      <x:c r="L58" s="53"/>
      <x:c r="M58" s="86"/>
      <x:c r="N58" s="86"/>
      <x:c r="O58" s="53"/>
      <x:c r="P58" s="53"/>
      <x:c r="Q58" s="53"/>
      <x:c r="R58" s="53"/>
      <x:c r="S58" s="53"/>
      <x:c r="T58" s="53"/>
    </x:row>
    <x:row r="59">
      <x:c r="A59" s="41" t="str">
        <x:f>'Trial Plan'!A59</x:f>
        <x:v>T056</x:v>
      </x:c>
      <x:c r="B59" s="41" t="str">
        <x:f>'Trial Plan'!B59</x:f>
        <x:v>P04</x:v>
      </x:c>
      <x:c r="C59" s="41" t="str">
        <x:f>'Trial Plan'!H59</x:f>
        <x:v>Locate Action</x:v>
      </x:c>
      <x:c r="D59" s="41" t="str">
        <x:f>'Trial Plan'!I59</x:f>
        <x:v>Search</x:v>
      </x:c>
      <x:c r="E59" s="41" t="str">
        <x:f>'Trial Plan'!K59</x:f>
        <x:v>vertical</x:v>
      </x:c>
      <x:c r="F59" s="41" t="n">
        <x:f>'Trial Plan'!L59</x:f>
        <x:v>91</x:v>
      </x:c>
      <x:c r="G59" s="41" t="str">
        <x:f>'Trial Plan'!M59</x:f>
        <x:v>Climb Ladder 1</x:v>
      </x:c>
      <x:c r="H59" s="85"/>
      <x:c r="I59" s="86"/>
      <x:c r="J59" s="86"/>
      <x:c r="K59" s="86"/>
      <x:c r="L59" s="53"/>
      <x:c r="M59" s="86"/>
      <x:c r="N59" s="86"/>
      <x:c r="O59" s="53"/>
      <x:c r="P59" s="53"/>
      <x:c r="Q59" s="53"/>
      <x:c r="R59" s="53"/>
      <x:c r="S59" s="53"/>
      <x:c r="T59" s="53"/>
    </x:row>
    <x:row r="60">
      <x:c r="A60" s="41" t="str">
        <x:f>'Trial Plan'!A60</x:f>
        <x:v>T057</x:v>
      </x:c>
      <x:c r="B60" s="41" t="str">
        <x:f>'Trial Plan'!B60</x:f>
        <x:v>P04</x:v>
      </x:c>
      <x:c r="C60" s="41" t="str">
        <x:f>'Trial Plan'!H60</x:f>
        <x:v>Locate Action</x:v>
      </x:c>
      <x:c r="D60" s="41" t="str">
        <x:f>'Trial Plan'!I60</x:f>
        <x:v>Collapse</x:v>
      </x:c>
      <x:c r="E60" s="41" t="str">
        <x:f>'Trial Plan'!K60</x:f>
        <x:v>patrol</x:v>
      </x:c>
      <x:c r="F60" s="41" t="n">
        <x:f>'Trial Plan'!L60</x:f>
        <x:v>201</x:v>
      </x:c>
      <x:c r="G60" s="41" t="str">
        <x:f>'Trial Plan'!M60</x:f>
        <x:v>Observe Patrol Point 1</x:v>
      </x:c>
      <x:c r="H60" s="85"/>
      <x:c r="I60" s="86"/>
      <x:c r="J60" s="86"/>
      <x:c r="K60" s="86"/>
      <x:c r="L60" s="53"/>
      <x:c r="M60" s="86"/>
      <x:c r="N60" s="86"/>
      <x:c r="O60" s="53"/>
      <x:c r="P60" s="53"/>
      <x:c r="Q60" s="53"/>
      <x:c r="R60" s="53"/>
      <x:c r="S60" s="53"/>
      <x:c r="T60" s="53"/>
    </x:row>
    <x:row r="61">
      <x:c r="A61" s="41" t="str">
        <x:f>'Trial Plan'!A61</x:f>
        <x:v>T058</x:v>
      </x:c>
      <x:c r="B61" s="41" t="str">
        <x:f>'Trial Plan'!B61</x:f>
        <x:v>P04</x:v>
      </x:c>
      <x:c r="C61" s="41" t="str">
        <x:f>'Trial Plan'!H61</x:f>
        <x:v>Locate Action</x:v>
      </x:c>
      <x:c r="D61" s="41" t="str">
        <x:f>'Trial Plan'!I61</x:f>
        <x:v>Minimap</x:v>
      </x:c>
      <x:c r="E61" s="41" t="str">
        <x:f>'Trial Plan'!K61</x:f>
        <x:v>ranged</x:v>
      </x:c>
      <x:c r="F61" s="41" t="n">
        <x:f>'Trial Plan'!L61</x:f>
        <x:v>101</x:v>
      </x:c>
      <x:c r="G61" s="41" t="str">
        <x:f>'Trial Plan'!M61</x:f>
        <x:v>Fire Projectile 1</x:v>
      </x:c>
      <x:c r="H61" s="85"/>
      <x:c r="I61" s="86"/>
      <x:c r="J61" s="86"/>
      <x:c r="K61" s="86"/>
      <x:c r="L61" s="53"/>
      <x:c r="M61" s="86"/>
      <x:c r="N61" s="86"/>
      <x:c r="O61" s="53"/>
      <x:c r="P61" s="53"/>
      <x:c r="Q61" s="53"/>
      <x:c r="R61" s="53"/>
      <x:c r="S61" s="53"/>
      <x:c r="T61" s="53"/>
    </x:row>
    <x:row r="62">
      <x:c r="A62" s="41" t="str">
        <x:f>'Trial Plan'!A62</x:f>
        <x:v>T059</x:v>
      </x:c>
      <x:c r="B62" s="41" t="str">
        <x:f>'Trial Plan'!B62</x:f>
        <x:v>P04</x:v>
      </x:c>
      <x:c r="C62" s="41" t="str">
        <x:f>'Trial Plan'!H62</x:f>
        <x:v>Locate Action</x:v>
      </x:c>
      <x:c r="D62" s="41" t="str">
        <x:f>'Trial Plan'!I62</x:f>
        <x:v>Compact</x:v>
      </x:c>
      <x:c r="E62" s="41" t="str">
        <x:f>'Trial Plan'!K62</x:f>
        <x:v>search</x:v>
      </x:c>
      <x:c r="F62" s="41" t="n">
        <x:f>'Trial Plan'!L62</x:f>
        <x:v>156</x:v>
      </x:c>
      <x:c r="G62" s="41" t="str">
        <x:f>'Trial Plan'!M62</x:f>
        <x:v>Search Movement 1</x:v>
      </x:c>
      <x:c r="H62" s="85"/>
      <x:c r="I62" s="86"/>
      <x:c r="J62" s="86"/>
      <x:c r="K62" s="86"/>
      <x:c r="L62" s="53"/>
      <x:c r="M62" s="86"/>
      <x:c r="N62" s="86"/>
      <x:c r="O62" s="53"/>
      <x:c r="P62" s="53"/>
      <x:c r="Q62" s="53"/>
      <x:c r="R62" s="53"/>
      <x:c r="S62" s="53"/>
      <x:c r="T62" s="53"/>
    </x:row>
    <x:row r="63">
      <x:c r="A63" s="41" t="str">
        <x:f>'Trial Plan'!A63</x:f>
        <x:v>T060</x:v>
      </x:c>
      <x:c r="B63" s="41" t="str">
        <x:f>'Trial Plan'!B63</x:f>
        <x:v>P04</x:v>
      </x:c>
      <x:c r="C63" s="41" t="str">
        <x:f>'Trial Plan'!H63</x:f>
        <x:v>Locate Action</x:v>
      </x:c>
      <x:c r="D63" s="41" t="str">
        <x:f>'Trial Plan'!I63</x:f>
        <x:v>Baseline</x:v>
      </x:c>
      <x:c r="E63" s="41" t="str">
        <x:f>'Trial Plan'!K63</x:f>
        <x:v>pressure</x:v>
      </x:c>
      <x:c r="F63" s="41" t="n">
        <x:f>'Trial Plan'!L63</x:f>
        <x:v>113</x:v>
      </x:c>
      <x:c r="G63" s="41" t="str">
        <x:f>'Trial Plan'!M63</x:f>
        <x:v>Pressure Advance 1</x:v>
      </x:c>
      <x:c r="H63" s="85"/>
      <x:c r="I63" s="86"/>
      <x:c r="J63" s="86"/>
      <x:c r="K63" s="86"/>
      <x:c r="L63" s="53"/>
      <x:c r="M63" s="86"/>
      <x:c r="N63" s="86"/>
      <x:c r="O63" s="53"/>
      <x:c r="P63" s="53"/>
      <x:c r="Q63" s="53"/>
      <x:c r="R63" s="53"/>
      <x:c r="S63" s="53"/>
      <x:c r="T63" s="53"/>
    </x:row>
    <x:row r="64">
      <x:c r="A64" s="41" t="str">
        <x:f>'Trial Plan'!A64</x:f>
        <x:v>T061</x:v>
      </x:c>
      <x:c r="B64" s="41" t="str">
        <x:f>'Trial Plan'!B64</x:f>
        <x:v>P04</x:v>
      </x:c>
      <x:c r="C64" s="41" t="str">
        <x:f>'Trial Plan'!H64</x:f>
        <x:v>Trace Active Path</x:v>
      </x:c>
      <x:c r="D64" s="41" t="str">
        <x:f>'Trial Plan'!I64</x:f>
        <x:v>Fisheye</x:v>
      </x:c>
      <x:c r="E64" s="41" t="str">
        <x:f>'Trial Plan'!K64</x:f>
        <x:v>obstacle</x:v>
      </x:c>
      <x:c r="F64" s="41" t="n">
        <x:f>'Trial Plan'!L64</x:f>
        <x:v>83</x:v>
      </x:c>
      <x:c r="G64" s="41" t="str">
        <x:f>'Trial Plan'!M64</x:f>
        <x:v>Jump Obstacle 1</x:v>
      </x:c>
      <x:c r="H64" s="85"/>
      <x:c r="I64" s="86"/>
      <x:c r="J64" s="86"/>
      <x:c r="K64" s="86"/>
      <x:c r="L64" s="53"/>
      <x:c r="M64" s="86"/>
      <x:c r="N64" s="86"/>
      <x:c r="O64" s="53"/>
      <x:c r="P64" s="53"/>
      <x:c r="Q64" s="53"/>
      <x:c r="R64" s="53"/>
      <x:c r="S64" s="53"/>
      <x:c r="T64" s="53"/>
    </x:row>
    <x:row r="65">
      <x:c r="A65" s="41" t="str">
        <x:f>'Trial Plan'!A65</x:f>
        <x:v>T062</x:v>
      </x:c>
      <x:c r="B65" s="41" t="str">
        <x:f>'Trial Plan'!B65</x:f>
        <x:v>P04</x:v>
      </x:c>
      <x:c r="C65" s="41" t="str">
        <x:f>'Trial Plan'!H65</x:f>
        <x:v>Trace Active Path</x:v>
      </x:c>
      <x:c r="D65" s="41" t="str">
        <x:f>'Trial Plan'!I65</x:f>
        <x:v>Search</x:v>
      </x:c>
      <x:c r="E65" s="41" t="str">
        <x:f>'Trial Plan'!K65</x:f>
        <x:v>vertical</x:v>
      </x:c>
      <x:c r="F65" s="41" t="n">
        <x:f>'Trial Plan'!L65</x:f>
        <x:v>91</x:v>
      </x:c>
      <x:c r="G65" s="41" t="str">
        <x:f>'Trial Plan'!M65</x:f>
        <x:v>Climb Ladder 1</x:v>
      </x:c>
      <x:c r="H65" s="85"/>
      <x:c r="I65" s="86"/>
      <x:c r="J65" s="86"/>
      <x:c r="K65" s="86"/>
      <x:c r="L65" s="53"/>
      <x:c r="M65" s="86"/>
      <x:c r="N65" s="86"/>
      <x:c r="O65" s="53"/>
      <x:c r="P65" s="53"/>
      <x:c r="Q65" s="53"/>
      <x:c r="R65" s="53"/>
      <x:c r="S65" s="53"/>
      <x:c r="T65" s="53"/>
    </x:row>
    <x:row r="66">
      <x:c r="A66" s="41" t="str">
        <x:f>'Trial Plan'!A66</x:f>
        <x:v>T063</x:v>
      </x:c>
      <x:c r="B66" s="41" t="str">
        <x:f>'Trial Plan'!B66</x:f>
        <x:v>P04</x:v>
      </x:c>
      <x:c r="C66" s="41" t="str">
        <x:f>'Trial Plan'!H66</x:f>
        <x:v>Trace Active Path</x:v>
      </x:c>
      <x:c r="D66" s="41" t="str">
        <x:f>'Trial Plan'!I66</x:f>
        <x:v>Collapse</x:v>
      </x:c>
      <x:c r="E66" s="41" t="str">
        <x:f>'Trial Plan'!K66</x:f>
        <x:v>patrol</x:v>
      </x:c>
      <x:c r="F66" s="41" t="n">
        <x:f>'Trial Plan'!L66</x:f>
        <x:v>201</x:v>
      </x:c>
      <x:c r="G66" s="41" t="str">
        <x:f>'Trial Plan'!M66</x:f>
        <x:v>Observe Patrol Point 1</x:v>
      </x:c>
      <x:c r="H66" s="85"/>
      <x:c r="I66" s="86"/>
      <x:c r="J66" s="86"/>
      <x:c r="K66" s="86"/>
      <x:c r="L66" s="53"/>
      <x:c r="M66" s="86"/>
      <x:c r="N66" s="86"/>
      <x:c r="O66" s="53"/>
      <x:c r="P66" s="53"/>
      <x:c r="Q66" s="53"/>
      <x:c r="R66" s="53"/>
      <x:c r="S66" s="53"/>
      <x:c r="T66" s="53"/>
    </x:row>
    <x:row r="67">
      <x:c r="A67" s="41" t="str">
        <x:f>'Trial Plan'!A67</x:f>
        <x:v>T064</x:v>
      </x:c>
      <x:c r="B67" s="41" t="str">
        <x:f>'Trial Plan'!B67</x:f>
        <x:v>P04</x:v>
      </x:c>
      <x:c r="C67" s="41" t="str">
        <x:f>'Trial Plan'!H67</x:f>
        <x:v>Trace Active Path</x:v>
      </x:c>
      <x:c r="D67" s="41" t="str">
        <x:f>'Trial Plan'!I67</x:f>
        <x:v>Minimap</x:v>
      </x:c>
      <x:c r="E67" s="41" t="str">
        <x:f>'Trial Plan'!K67</x:f>
        <x:v>ranged</x:v>
      </x:c>
      <x:c r="F67" s="41" t="n">
        <x:f>'Trial Plan'!L67</x:f>
        <x:v>101</x:v>
      </x:c>
      <x:c r="G67" s="41" t="str">
        <x:f>'Trial Plan'!M67</x:f>
        <x:v>Fire Projectile 1</x:v>
      </x:c>
      <x:c r="H67" s="85"/>
      <x:c r="I67" s="86"/>
      <x:c r="J67" s="86"/>
      <x:c r="K67" s="86"/>
      <x:c r="L67" s="53"/>
      <x:c r="M67" s="86"/>
      <x:c r="N67" s="86"/>
      <x:c r="O67" s="53"/>
      <x:c r="P67" s="53"/>
      <x:c r="Q67" s="53"/>
      <x:c r="R67" s="53"/>
      <x:c r="S67" s="53"/>
      <x:c r="T67" s="53"/>
    </x:row>
    <x:row r="68">
      <x:c r="A68" s="41" t="str">
        <x:f>'Trial Plan'!A68</x:f>
        <x:v>T065</x:v>
      </x:c>
      <x:c r="B68" s="41" t="str">
        <x:f>'Trial Plan'!B68</x:f>
        <x:v>P04</x:v>
      </x:c>
      <x:c r="C68" s="41" t="str">
        <x:f>'Trial Plan'!H68</x:f>
        <x:v>Trace Active Path</x:v>
      </x:c>
      <x:c r="D68" s="41" t="str">
        <x:f>'Trial Plan'!I68</x:f>
        <x:v>Compact</x:v>
      </x:c>
      <x:c r="E68" s="41" t="str">
        <x:f>'Trial Plan'!K68</x:f>
        <x:v>search</x:v>
      </x:c>
      <x:c r="F68" s="41" t="n">
        <x:f>'Trial Plan'!L68</x:f>
        <x:v>156</x:v>
      </x:c>
      <x:c r="G68" s="41" t="str">
        <x:f>'Trial Plan'!M68</x:f>
        <x:v>Search Movement 1</x:v>
      </x:c>
      <x:c r="H68" s="85"/>
      <x:c r="I68" s="86"/>
      <x:c r="J68" s="86"/>
      <x:c r="K68" s="86"/>
      <x:c r="L68" s="53"/>
      <x:c r="M68" s="86"/>
      <x:c r="N68" s="86"/>
      <x:c r="O68" s="53"/>
      <x:c r="P68" s="53"/>
      <x:c r="Q68" s="53"/>
      <x:c r="R68" s="53"/>
      <x:c r="S68" s="53"/>
      <x:c r="T68" s="53"/>
    </x:row>
    <x:row r="69">
      <x:c r="A69" s="41" t="str">
        <x:f>'Trial Plan'!A69</x:f>
        <x:v>T066</x:v>
      </x:c>
      <x:c r="B69" s="41" t="str">
        <x:f>'Trial Plan'!B69</x:f>
        <x:v>P04</x:v>
      </x:c>
      <x:c r="C69" s="41" t="str">
        <x:f>'Trial Plan'!H69</x:f>
        <x:v>Trace Active Path</x:v>
      </x:c>
      <x:c r="D69" s="41" t="str">
        <x:f>'Trial Plan'!I69</x:f>
        <x:v>Baseline</x:v>
      </x:c>
      <x:c r="E69" s="41" t="str">
        <x:f>'Trial Plan'!K69</x:f>
        <x:v>pressure</x:v>
      </x:c>
      <x:c r="F69" s="41" t="n">
        <x:f>'Trial Plan'!L69</x:f>
        <x:v>113</x:v>
      </x:c>
      <x:c r="G69" s="41" t="str">
        <x:f>'Trial Plan'!M69</x:f>
        <x:v>Pressure Advance 1</x:v>
      </x:c>
      <x:c r="H69" s="85"/>
      <x:c r="I69" s="86"/>
      <x:c r="J69" s="86"/>
      <x:c r="K69" s="86"/>
      <x:c r="L69" s="53"/>
      <x:c r="M69" s="86"/>
      <x:c r="N69" s="86"/>
      <x:c r="O69" s="53"/>
      <x:c r="P69" s="53"/>
      <x:c r="Q69" s="53"/>
      <x:c r="R69" s="53"/>
      <x:c r="S69" s="53"/>
      <x:c r="T69" s="53"/>
    </x:row>
    <x:row r="70">
      <x:c r="A70" s="41" t="str">
        <x:f>'Trial Plan'!A70</x:f>
        <x:v>T067</x:v>
      </x:c>
      <x:c r="B70" s="41" t="str">
        <x:f>'Trial Plan'!B70</x:f>
        <x:v>P04</x:v>
      </x:c>
      <x:c r="C70" s="41" t="str">
        <x:f>'Trial Plan'!H70</x:f>
        <x:v>Edit Decorator</x:v>
      </x:c>
      <x:c r="D70" s="41" t="str">
        <x:f>'Trial Plan'!I70</x:f>
        <x:v>Fisheye</x:v>
      </x:c>
      <x:c r="E70" s="41" t="str">
        <x:f>'Trial Plan'!K70</x:f>
        <x:v>defense</x:v>
      </x:c>
      <x:c r="F70" s="41" t="n">
        <x:f>'Trial Plan'!L70</x:f>
        <x:v>31</x:v>
      </x:c>
      <x:c r="G70" s="41" t="str">
        <x:f>'Trial Plan'!M70</x:f>
        <x:v>Defense Cooldown 1</x:v>
      </x:c>
      <x:c r="H70" s="85"/>
      <x:c r="I70" s="86"/>
      <x:c r="J70" s="86"/>
      <x:c r="K70" s="86"/>
      <x:c r="L70" s="53"/>
      <x:c r="M70" s="86"/>
      <x:c r="N70" s="86"/>
      <x:c r="O70" s="53"/>
      <x:c r="P70" s="53"/>
      <x:c r="Q70" s="53"/>
      <x:c r="R70" s="53"/>
      <x:c r="S70" s="53"/>
      <x:c r="T70" s="53"/>
    </x:row>
    <x:row r="71">
      <x:c r="A71" s="41" t="str">
        <x:f>'Trial Plan'!A71</x:f>
        <x:v>T068</x:v>
      </x:c>
      <x:c r="B71" s="41" t="str">
        <x:f>'Trial Plan'!B71</x:f>
        <x:v>P04</x:v>
      </x:c>
      <x:c r="C71" s="41" t="str">
        <x:f>'Trial Plan'!H71</x:f>
        <x:v>Edit Decorator</x:v>
      </x:c>
      <x:c r="D71" s="41" t="str">
        <x:f>'Trial Plan'!I71</x:f>
        <x:v>Search</x:v>
      </x:c>
      <x:c r="E71" s="41" t="str">
        <x:f>'Trial Plan'!K71</x:f>
        <x:v>pressure</x:v>
      </x:c>
      <x:c r="F71" s="41" t="n">
        <x:f>'Trial Plan'!L71</x:f>
        <x:v>114</x:v>
      </x:c>
      <x:c r="G71" s="41" t="str">
        <x:f>'Trial Plan'!M71</x:f>
        <x:v>Pressure Cooldown 1</x:v>
      </x:c>
      <x:c r="H71" s="85"/>
      <x:c r="I71" s="86"/>
      <x:c r="J71" s="86"/>
      <x:c r="K71" s="86"/>
      <x:c r="L71" s="53"/>
      <x:c r="M71" s="86"/>
      <x:c r="N71" s="86"/>
      <x:c r="O71" s="53"/>
      <x:c r="P71" s="53"/>
      <x:c r="Q71" s="53"/>
      <x:c r="R71" s="53"/>
      <x:c r="S71" s="53"/>
      <x:c r="T71" s="53"/>
    </x:row>
    <x:row r="72">
      <x:c r="A72" s="41" t="str">
        <x:f>'Trial Plan'!A72</x:f>
        <x:v>T069</x:v>
      </x:c>
      <x:c r="B72" s="41" t="str">
        <x:f>'Trial Plan'!B72</x:f>
        <x:v>P04</x:v>
      </x:c>
      <x:c r="C72" s="41" t="str">
        <x:f>'Trial Plan'!H72</x:f>
        <x:v>Edit Decorator</x:v>
      </x:c>
      <x:c r="D72" s="41" t="str">
        <x:f>'Trial Plan'!I72</x:f>
        <x:v>Collapse</x:v>
      </x:c>
      <x:c r="E72" s="41" t="str">
        <x:f>'Trial Plan'!K72</x:f>
        <x:v>patrol</x:v>
      </x:c>
      <x:c r="F72" s="41" t="n">
        <x:f>'Trial Plan'!L72</x:f>
        <x:v>202</x:v>
      </x:c>
      <x:c r="G72" s="41" t="str">
        <x:f>'Trial Plan'!M72</x:f>
        <x:v>Patrol Leg Limit 1</x:v>
      </x:c>
      <x:c r="H72" s="85"/>
      <x:c r="I72" s="86"/>
      <x:c r="J72" s="86"/>
      <x:c r="K72" s="86"/>
      <x:c r="L72" s="53"/>
      <x:c r="M72" s="86"/>
      <x:c r="N72" s="86"/>
      <x:c r="O72" s="53"/>
      <x:c r="P72" s="53"/>
      <x:c r="Q72" s="53"/>
      <x:c r="R72" s="53"/>
      <x:c r="S72" s="53"/>
      <x:c r="T72" s="53"/>
    </x:row>
    <x:row r="73">
      <x:c r="A73" s="41" t="str">
        <x:f>'Trial Plan'!A73</x:f>
        <x:v>T070</x:v>
      </x:c>
      <x:c r="B73" s="41" t="str">
        <x:f>'Trial Plan'!B73</x:f>
        <x:v>P04</x:v>
      </x:c>
      <x:c r="C73" s="41" t="str">
        <x:f>'Trial Plan'!H73</x:f>
        <x:v>Edit Decorator</x:v>
      </x:c>
      <x:c r="D73" s="41" t="str">
        <x:f>'Trial Plan'!I73</x:f>
        <x:v>Minimap</x:v>
      </x:c>
      <x:c r="E73" s="41" t="str">
        <x:f>'Trial Plan'!K73</x:f>
        <x:v>chase</x:v>
      </x:c>
      <x:c r="F73" s="41" t="n">
        <x:f>'Trial Plan'!L73</x:f>
        <x:v>133</x:v>
      </x:c>
      <x:c r="G73" s="41" t="str">
        <x:f>'Trial Plan'!M73</x:f>
        <x:v>Chase Step Limit 1</x:v>
      </x:c>
      <x:c r="H73" s="85"/>
      <x:c r="I73" s="86"/>
      <x:c r="J73" s="86"/>
      <x:c r="K73" s="86"/>
      <x:c r="L73" s="53"/>
      <x:c r="M73" s="86"/>
      <x:c r="N73" s="86"/>
      <x:c r="O73" s="53"/>
      <x:c r="P73" s="53"/>
      <x:c r="Q73" s="53"/>
      <x:c r="R73" s="53"/>
      <x:c r="S73" s="53"/>
      <x:c r="T73" s="53"/>
    </x:row>
    <x:row r="74">
      <x:c r="A74" s="41" t="str">
        <x:f>'Trial Plan'!A74</x:f>
        <x:v>T071</x:v>
      </x:c>
      <x:c r="B74" s="41" t="str">
        <x:f>'Trial Plan'!B74</x:f>
        <x:v>P04</x:v>
      </x:c>
      <x:c r="C74" s="41" t="str">
        <x:f>'Trial Plan'!H74</x:f>
        <x:v>Edit Decorator</x:v>
      </x:c>
      <x:c r="D74" s="41" t="str">
        <x:f>'Trial Plan'!I74</x:f>
        <x:v>Compact</x:v>
      </x:c>
      <x:c r="E74" s="41" t="str">
        <x:f>'Trial Plan'!K74</x:f>
        <x:v>return</x:v>
      </x:c>
      <x:c r="F74" s="41" t="n">
        <x:f>'Trial Plan'!L74</x:f>
        <x:v>182</x:v>
      </x:c>
      <x:c r="G74" s="41" t="str">
        <x:f>'Trial Plan'!M74</x:f>
        <x:v>Return Step Limit 1</x:v>
      </x:c>
      <x:c r="H74" s="85"/>
      <x:c r="I74" s="86"/>
      <x:c r="J74" s="86"/>
      <x:c r="K74" s="86"/>
      <x:c r="L74" s="53"/>
      <x:c r="M74" s="86"/>
      <x:c r="N74" s="86"/>
      <x:c r="O74" s="53"/>
      <x:c r="P74" s="53"/>
      <x:c r="Q74" s="53"/>
      <x:c r="R74" s="53"/>
      <x:c r="S74" s="53"/>
      <x:c r="T74" s="53"/>
    </x:row>
    <x:row r="75">
      <x:c r="A75" s="41" t="str">
        <x:f>'Trial Plan'!A75</x:f>
        <x:v>T072</x:v>
      </x:c>
      <x:c r="B75" s="41" t="str">
        <x:f>'Trial Plan'!B75</x:f>
        <x:v>P04</x:v>
      </x:c>
      <x:c r="C75" s="41" t="str">
        <x:f>'Trial Plan'!H75</x:f>
        <x:v>Edit Decorator</x:v>
      </x:c>
      <x:c r="D75" s="41" t="str">
        <x:f>'Trial Plan'!I75</x:f>
        <x:v>Baseline</x:v>
      </x:c>
      <x:c r="E75" s="41" t="str">
        <x:f>'Trial Plan'!K75</x:f>
        <x:v>search</x:v>
      </x:c>
      <x:c r="F75" s="41" t="n">
        <x:f>'Trial Plan'!L75</x:f>
        <x:v>159</x:v>
      </x:c>
      <x:c r="G75" s="41" t="str">
        <x:f>'Trial Plan'!M75</x:f>
        <x:v>Search Leg Limit 1</x:v>
      </x:c>
      <x:c r="H75" s="85"/>
      <x:c r="I75" s="86"/>
      <x:c r="J75" s="86"/>
      <x:c r="K75" s="86"/>
      <x:c r="L75" s="53"/>
      <x:c r="M75" s="86"/>
      <x:c r="N75" s="86"/>
      <x:c r="O75" s="53"/>
      <x:c r="P75" s="53"/>
      <x:c r="Q75" s="53"/>
      <x:c r="R75" s="53"/>
      <x:c r="S75" s="53"/>
      <x:c r="T75" s="53"/>
    </x:row>
    <x:row r="76">
      <x:c r="A76" s="41" t="str">
        <x:f>'Trial Plan'!A76</x:f>
        <x:v>T073</x:v>
      </x:c>
      <x:c r="B76" s="41" t="str">
        <x:f>'Trial Plan'!B76</x:f>
        <x:v>P05</x:v>
      </x:c>
      <x:c r="C76" s="41" t="str">
        <x:f>'Trial Plan'!H76</x:f>
        <x:v>Trace Active Path</x:v>
      </x:c>
      <x:c r="D76" s="41" t="str">
        <x:f>'Trial Plan'!I76</x:f>
        <x:v>Search</x:v>
      </x:c>
      <x:c r="E76" s="41" t="str">
        <x:f>'Trial Plan'!K76</x:f>
        <x:v>ranged</x:v>
      </x:c>
      <x:c r="F76" s="41" t="n">
        <x:f>'Trial Plan'!L76</x:f>
        <x:v>101</x:v>
      </x:c>
      <x:c r="G76" s="41" t="str">
        <x:f>'Trial Plan'!M76</x:f>
        <x:v>Fire Projectile 1</x:v>
      </x:c>
      <x:c r="H76" s="85"/>
      <x:c r="I76" s="86"/>
      <x:c r="J76" s="86"/>
      <x:c r="K76" s="86"/>
      <x:c r="L76" s="53"/>
      <x:c r="M76" s="86"/>
      <x:c r="N76" s="86"/>
      <x:c r="O76" s="53"/>
      <x:c r="P76" s="53"/>
      <x:c r="Q76" s="53"/>
      <x:c r="R76" s="53"/>
      <x:c r="S76" s="53"/>
      <x:c r="T76" s="53"/>
    </x:row>
    <x:row r="77">
      <x:c r="A77" s="41" t="str">
        <x:f>'Trial Plan'!A77</x:f>
        <x:v>T074</x:v>
      </x:c>
      <x:c r="B77" s="41" t="str">
        <x:f>'Trial Plan'!B77</x:f>
        <x:v>P05</x:v>
      </x:c>
      <x:c r="C77" s="41" t="str">
        <x:f>'Trial Plan'!H77</x:f>
        <x:v>Trace Active Path</x:v>
      </x:c>
      <x:c r="D77" s="41" t="str">
        <x:f>'Trial Plan'!I77</x:f>
        <x:v>Minimap</x:v>
      </x:c>
      <x:c r="E77" s="41" t="str">
        <x:f>'Trial Plan'!K77</x:f>
        <x:v>pressure</x:v>
      </x:c>
      <x:c r="F77" s="41" t="n">
        <x:f>'Trial Plan'!L77</x:f>
        <x:v>113</x:v>
      </x:c>
      <x:c r="G77" s="41" t="str">
        <x:f>'Trial Plan'!M77</x:f>
        <x:v>Pressure Advance 1</x:v>
      </x:c>
      <x:c r="H77" s="85"/>
      <x:c r="I77" s="86"/>
      <x:c r="J77" s="86"/>
      <x:c r="K77" s="86"/>
      <x:c r="L77" s="53"/>
      <x:c r="M77" s="86"/>
      <x:c r="N77" s="86"/>
      <x:c r="O77" s="53"/>
      <x:c r="P77" s="53"/>
      <x:c r="Q77" s="53"/>
      <x:c r="R77" s="53"/>
      <x:c r="S77" s="53"/>
      <x:c r="T77" s="53"/>
    </x:row>
    <x:row r="78">
      <x:c r="A78" s="41" t="str">
        <x:f>'Trial Plan'!A78</x:f>
        <x:v>T075</x:v>
      </x:c>
      <x:c r="B78" s="41" t="str">
        <x:f>'Trial Plan'!B78</x:f>
        <x:v>P05</x:v>
      </x:c>
      <x:c r="C78" s="41" t="str">
        <x:f>'Trial Plan'!H78</x:f>
        <x:v>Trace Active Path</x:v>
      </x:c>
      <x:c r="D78" s="41" t="str">
        <x:f>'Trial Plan'!I78</x:f>
        <x:v>Fisheye</x:v>
      </x:c>
      <x:c r="E78" s="41" t="str">
        <x:f>'Trial Plan'!K78</x:f>
        <x:v>vertical</x:v>
      </x:c>
      <x:c r="F78" s="41" t="n">
        <x:f>'Trial Plan'!L78</x:f>
        <x:v>91</x:v>
      </x:c>
      <x:c r="G78" s="41" t="str">
        <x:f>'Trial Plan'!M78</x:f>
        <x:v>Climb Ladder 1</x:v>
      </x:c>
      <x:c r="H78" s="85"/>
      <x:c r="I78" s="86"/>
      <x:c r="J78" s="86"/>
      <x:c r="K78" s="86"/>
      <x:c r="L78" s="53"/>
      <x:c r="M78" s="86"/>
      <x:c r="N78" s="86"/>
      <x:c r="O78" s="53"/>
      <x:c r="P78" s="53"/>
      <x:c r="Q78" s="53"/>
      <x:c r="R78" s="53"/>
      <x:c r="S78" s="53"/>
      <x:c r="T78" s="53"/>
    </x:row>
    <x:row r="79">
      <x:c r="A79" s="41" t="str">
        <x:f>'Trial Plan'!A79</x:f>
        <x:v>T076</x:v>
      </x:c>
      <x:c r="B79" s="41" t="str">
        <x:f>'Trial Plan'!B79</x:f>
        <x:v>P05</x:v>
      </x:c>
      <x:c r="C79" s="41" t="str">
        <x:f>'Trial Plan'!H79</x:f>
        <x:v>Trace Active Path</x:v>
      </x:c>
      <x:c r="D79" s="41" t="str">
        <x:f>'Trial Plan'!I79</x:f>
        <x:v>Baseline</x:v>
      </x:c>
      <x:c r="E79" s="41" t="str">
        <x:f>'Trial Plan'!K79</x:f>
        <x:v>search</x:v>
      </x:c>
      <x:c r="F79" s="41" t="n">
        <x:f>'Trial Plan'!L79</x:f>
        <x:v>156</x:v>
      </x:c>
      <x:c r="G79" s="41" t="str">
        <x:f>'Trial Plan'!M79</x:f>
        <x:v>Search Movement 1</x:v>
      </x:c>
      <x:c r="H79" s="85"/>
      <x:c r="I79" s="86"/>
      <x:c r="J79" s="86"/>
      <x:c r="K79" s="86"/>
      <x:c r="L79" s="53"/>
      <x:c r="M79" s="86"/>
      <x:c r="N79" s="86"/>
      <x:c r="O79" s="53"/>
      <x:c r="P79" s="53"/>
      <x:c r="Q79" s="53"/>
      <x:c r="R79" s="53"/>
      <x:c r="S79" s="53"/>
      <x:c r="T79" s="53"/>
    </x:row>
    <x:row r="80">
      <x:c r="A80" s="41" t="str">
        <x:f>'Trial Plan'!A80</x:f>
        <x:v>T077</x:v>
      </x:c>
      <x:c r="B80" s="41" t="str">
        <x:f>'Trial Plan'!B80</x:f>
        <x:v>P05</x:v>
      </x:c>
      <x:c r="C80" s="41" t="str">
        <x:f>'Trial Plan'!H80</x:f>
        <x:v>Trace Active Path</x:v>
      </x:c>
      <x:c r="D80" s="41" t="str">
        <x:f>'Trial Plan'!I80</x:f>
        <x:v>Collapse</x:v>
      </x:c>
      <x:c r="E80" s="41" t="str">
        <x:f>'Trial Plan'!K80</x:f>
        <x:v>obstacle</x:v>
      </x:c>
      <x:c r="F80" s="41" t="n">
        <x:f>'Trial Plan'!L80</x:f>
        <x:v>83</x:v>
      </x:c>
      <x:c r="G80" s="41" t="str">
        <x:f>'Trial Plan'!M80</x:f>
        <x:v>Jump Obstacle 1</x:v>
      </x:c>
      <x:c r="H80" s="85"/>
      <x:c r="I80" s="86"/>
      <x:c r="J80" s="86"/>
      <x:c r="K80" s="86"/>
      <x:c r="L80" s="53"/>
      <x:c r="M80" s="86"/>
      <x:c r="N80" s="86"/>
      <x:c r="O80" s="53"/>
      <x:c r="P80" s="53"/>
      <x:c r="Q80" s="53"/>
      <x:c r="R80" s="53"/>
      <x:c r="S80" s="53"/>
      <x:c r="T80" s="53"/>
    </x:row>
    <x:row r="81">
      <x:c r="A81" s="41" t="str">
        <x:f>'Trial Plan'!A81</x:f>
        <x:v>T078</x:v>
      </x:c>
      <x:c r="B81" s="41" t="str">
        <x:f>'Trial Plan'!B81</x:f>
        <x:v>P05</x:v>
      </x:c>
      <x:c r="C81" s="41" t="str">
        <x:f>'Trial Plan'!H81</x:f>
        <x:v>Trace Active Path</x:v>
      </x:c>
      <x:c r="D81" s="41" t="str">
        <x:f>'Trial Plan'!I81</x:f>
        <x:v>Compact</x:v>
      </x:c>
      <x:c r="E81" s="41" t="str">
        <x:f>'Trial Plan'!K81</x:f>
        <x:v>patrol</x:v>
      </x:c>
      <x:c r="F81" s="41" t="n">
        <x:f>'Trial Plan'!L81</x:f>
        <x:v>201</x:v>
      </x:c>
      <x:c r="G81" s="41" t="str">
        <x:f>'Trial Plan'!M81</x:f>
        <x:v>Observe Patrol Point 1</x:v>
      </x:c>
      <x:c r="H81" s="85"/>
      <x:c r="I81" s="86"/>
      <x:c r="J81" s="86"/>
      <x:c r="K81" s="86"/>
      <x:c r="L81" s="53"/>
      <x:c r="M81" s="86"/>
      <x:c r="N81" s="86"/>
      <x:c r="O81" s="53"/>
      <x:c r="P81" s="53"/>
      <x:c r="Q81" s="53"/>
      <x:c r="R81" s="53"/>
      <x:c r="S81" s="53"/>
      <x:c r="T81" s="53"/>
    </x:row>
    <x:row r="82">
      <x:c r="A82" s="41" t="str">
        <x:f>'Trial Plan'!A82</x:f>
        <x:v>T079</x:v>
      </x:c>
      <x:c r="B82" s="41" t="str">
        <x:f>'Trial Plan'!B82</x:f>
        <x:v>P05</x:v>
      </x:c>
      <x:c r="C82" s="41" t="str">
        <x:f>'Trial Plan'!H82</x:f>
        <x:v>Edit Decorator</x:v>
      </x:c>
      <x:c r="D82" s="41" t="str">
        <x:f>'Trial Plan'!I82</x:f>
        <x:v>Search</x:v>
      </x:c>
      <x:c r="E82" s="41" t="str">
        <x:f>'Trial Plan'!K82</x:f>
        <x:v>chase</x:v>
      </x:c>
      <x:c r="F82" s="41" t="n">
        <x:f>'Trial Plan'!L82</x:f>
        <x:v>133</x:v>
      </x:c>
      <x:c r="G82" s="41" t="str">
        <x:f>'Trial Plan'!M82</x:f>
        <x:v>Chase Step Limit 1</x:v>
      </x:c>
      <x:c r="H82" s="85"/>
      <x:c r="I82" s="86"/>
      <x:c r="J82" s="86"/>
      <x:c r="K82" s="86"/>
      <x:c r="L82" s="53"/>
      <x:c r="M82" s="86"/>
      <x:c r="N82" s="86"/>
      <x:c r="O82" s="53"/>
      <x:c r="P82" s="53"/>
      <x:c r="Q82" s="53"/>
      <x:c r="R82" s="53"/>
      <x:c r="S82" s="53"/>
      <x:c r="T82" s="53"/>
    </x:row>
    <x:row r="83">
      <x:c r="A83" s="41" t="str">
        <x:f>'Trial Plan'!A83</x:f>
        <x:v>T080</x:v>
      </x:c>
      <x:c r="B83" s="41" t="str">
        <x:f>'Trial Plan'!B83</x:f>
        <x:v>P05</x:v>
      </x:c>
      <x:c r="C83" s="41" t="str">
        <x:f>'Trial Plan'!H83</x:f>
        <x:v>Edit Decorator</x:v>
      </x:c>
      <x:c r="D83" s="41" t="str">
        <x:f>'Trial Plan'!I83</x:f>
        <x:v>Minimap</x:v>
      </x:c>
      <x:c r="E83" s="41" t="str">
        <x:f>'Trial Plan'!K83</x:f>
        <x:v>search</x:v>
      </x:c>
      <x:c r="F83" s="41" t="n">
        <x:f>'Trial Plan'!L83</x:f>
        <x:v>159</x:v>
      </x:c>
      <x:c r="G83" s="41" t="str">
        <x:f>'Trial Plan'!M83</x:f>
        <x:v>Search Leg Limit 1</x:v>
      </x:c>
      <x:c r="H83" s="85"/>
      <x:c r="I83" s="86"/>
      <x:c r="J83" s="86"/>
      <x:c r="K83" s="86"/>
      <x:c r="L83" s="53"/>
      <x:c r="M83" s="86"/>
      <x:c r="N83" s="86"/>
      <x:c r="O83" s="53"/>
      <x:c r="P83" s="53"/>
      <x:c r="Q83" s="53"/>
      <x:c r="R83" s="53"/>
      <x:c r="S83" s="53"/>
      <x:c r="T83" s="53"/>
    </x:row>
    <x:row r="84">
      <x:c r="A84" s="41" t="str">
        <x:f>'Trial Plan'!A84</x:f>
        <x:v>T081</x:v>
      </x:c>
      <x:c r="B84" s="41" t="str">
        <x:f>'Trial Plan'!B84</x:f>
        <x:v>P05</x:v>
      </x:c>
      <x:c r="C84" s="41" t="str">
        <x:f>'Trial Plan'!H84</x:f>
        <x:v>Edit Decorator</x:v>
      </x:c>
      <x:c r="D84" s="41" t="str">
        <x:f>'Trial Plan'!I84</x:f>
        <x:v>Fisheye</x:v>
      </x:c>
      <x:c r="E84" s="41" t="str">
        <x:f>'Trial Plan'!K84</x:f>
        <x:v>pressure</x:v>
      </x:c>
      <x:c r="F84" s="41" t="n">
        <x:f>'Trial Plan'!L84</x:f>
        <x:v>114</x:v>
      </x:c>
      <x:c r="G84" s="41" t="str">
        <x:f>'Trial Plan'!M84</x:f>
        <x:v>Pressure Cooldown 1</x:v>
      </x:c>
      <x:c r="H84" s="85"/>
      <x:c r="I84" s="86"/>
      <x:c r="J84" s="86"/>
      <x:c r="K84" s="86"/>
      <x:c r="L84" s="53"/>
      <x:c r="M84" s="86"/>
      <x:c r="N84" s="86"/>
      <x:c r="O84" s="53"/>
      <x:c r="P84" s="53"/>
      <x:c r="Q84" s="53"/>
      <x:c r="R84" s="53"/>
      <x:c r="S84" s="53"/>
      <x:c r="T84" s="53"/>
    </x:row>
    <x:row r="85">
      <x:c r="A85" s="41" t="str">
        <x:f>'Trial Plan'!A85</x:f>
        <x:v>T082</x:v>
      </x:c>
      <x:c r="B85" s="41" t="str">
        <x:f>'Trial Plan'!B85</x:f>
        <x:v>P05</x:v>
      </x:c>
      <x:c r="C85" s="41" t="str">
        <x:f>'Trial Plan'!H85</x:f>
        <x:v>Edit Decorator</x:v>
      </x:c>
      <x:c r="D85" s="41" t="str">
        <x:f>'Trial Plan'!I85</x:f>
        <x:v>Baseline</x:v>
      </x:c>
      <x:c r="E85" s="41" t="str">
        <x:f>'Trial Plan'!K85</x:f>
        <x:v>return</x:v>
      </x:c>
      <x:c r="F85" s="41" t="n">
        <x:f>'Trial Plan'!L85</x:f>
        <x:v>182</x:v>
      </x:c>
      <x:c r="G85" s="41" t="str">
        <x:f>'Trial Plan'!M85</x:f>
        <x:v>Return Step Limit 1</x:v>
      </x:c>
      <x:c r="H85" s="85"/>
      <x:c r="I85" s="86"/>
      <x:c r="J85" s="86"/>
      <x:c r="K85" s="86"/>
      <x:c r="L85" s="53"/>
      <x:c r="M85" s="86"/>
      <x:c r="N85" s="86"/>
      <x:c r="O85" s="53"/>
      <x:c r="P85" s="53"/>
      <x:c r="Q85" s="53"/>
      <x:c r="R85" s="53"/>
      <x:c r="S85" s="53"/>
      <x:c r="T85" s="53"/>
    </x:row>
    <x:row r="86">
      <x:c r="A86" s="41" t="str">
        <x:f>'Trial Plan'!A86</x:f>
        <x:v>T083</x:v>
      </x:c>
      <x:c r="B86" s="41" t="str">
        <x:f>'Trial Plan'!B86</x:f>
        <x:v>P05</x:v>
      </x:c>
      <x:c r="C86" s="41" t="str">
        <x:f>'Trial Plan'!H86</x:f>
        <x:v>Edit Decorator</x:v>
      </x:c>
      <x:c r="D86" s="41" t="str">
        <x:f>'Trial Plan'!I86</x:f>
        <x:v>Collapse</x:v>
      </x:c>
      <x:c r="E86" s="41" t="str">
        <x:f>'Trial Plan'!K86</x:f>
        <x:v>defense</x:v>
      </x:c>
      <x:c r="F86" s="41" t="n">
        <x:f>'Trial Plan'!L86</x:f>
        <x:v>31</x:v>
      </x:c>
      <x:c r="G86" s="41" t="str">
        <x:f>'Trial Plan'!M86</x:f>
        <x:v>Defense Cooldown 1</x:v>
      </x:c>
      <x:c r="H86" s="85"/>
      <x:c r="I86" s="86"/>
      <x:c r="J86" s="86"/>
      <x:c r="K86" s="86"/>
      <x:c r="L86" s="53"/>
      <x:c r="M86" s="86"/>
      <x:c r="N86" s="86"/>
      <x:c r="O86" s="53"/>
      <x:c r="P86" s="53"/>
      <x:c r="Q86" s="53"/>
      <x:c r="R86" s="53"/>
      <x:c r="S86" s="53"/>
      <x:c r="T86" s="53"/>
    </x:row>
    <x:row r="87">
      <x:c r="A87" s="41" t="str">
        <x:f>'Trial Plan'!A87</x:f>
        <x:v>T084</x:v>
      </x:c>
      <x:c r="B87" s="41" t="str">
        <x:f>'Trial Plan'!B87</x:f>
        <x:v>P05</x:v>
      </x:c>
      <x:c r="C87" s="41" t="str">
        <x:f>'Trial Plan'!H87</x:f>
        <x:v>Edit Decorator</x:v>
      </x:c>
      <x:c r="D87" s="41" t="str">
        <x:f>'Trial Plan'!I87</x:f>
        <x:v>Compact</x:v>
      </x:c>
      <x:c r="E87" s="41" t="str">
        <x:f>'Trial Plan'!K87</x:f>
        <x:v>patrol</x:v>
      </x:c>
      <x:c r="F87" s="41" t="n">
        <x:f>'Trial Plan'!L87</x:f>
        <x:v>202</x:v>
      </x:c>
      <x:c r="G87" s="41" t="str">
        <x:f>'Trial Plan'!M87</x:f>
        <x:v>Patrol Leg Limit 1</x:v>
      </x:c>
      <x:c r="H87" s="85"/>
      <x:c r="I87" s="86"/>
      <x:c r="J87" s="86"/>
      <x:c r="K87" s="86"/>
      <x:c r="L87" s="53"/>
      <x:c r="M87" s="86"/>
      <x:c r="N87" s="86"/>
      <x:c r="O87" s="53"/>
      <x:c r="P87" s="53"/>
      <x:c r="Q87" s="53"/>
      <x:c r="R87" s="53"/>
      <x:c r="S87" s="53"/>
      <x:c r="T87" s="53"/>
    </x:row>
    <x:row r="88">
      <x:c r="A88" s="41" t="str">
        <x:f>'Trial Plan'!A88</x:f>
        <x:v>T085</x:v>
      </x:c>
      <x:c r="B88" s="41" t="str">
        <x:f>'Trial Plan'!B88</x:f>
        <x:v>P05</x:v>
      </x:c>
      <x:c r="C88" s="41" t="str">
        <x:f>'Trial Plan'!H88</x:f>
        <x:v>Locate Action</x:v>
      </x:c>
      <x:c r="D88" s="41" t="str">
        <x:f>'Trial Plan'!I88</x:f>
        <x:v>Search</x:v>
      </x:c>
      <x:c r="E88" s="41" t="str">
        <x:f>'Trial Plan'!K88</x:f>
        <x:v>ranged</x:v>
      </x:c>
      <x:c r="F88" s="41" t="n">
        <x:f>'Trial Plan'!L88</x:f>
        <x:v>101</x:v>
      </x:c>
      <x:c r="G88" s="41" t="str">
        <x:f>'Trial Plan'!M88</x:f>
        <x:v>Fire Projectile 1</x:v>
      </x:c>
      <x:c r="H88" s="85"/>
      <x:c r="I88" s="86"/>
      <x:c r="J88" s="86"/>
      <x:c r="K88" s="86"/>
      <x:c r="L88" s="53"/>
      <x:c r="M88" s="86"/>
      <x:c r="N88" s="86"/>
      <x:c r="O88" s="53"/>
      <x:c r="P88" s="53"/>
      <x:c r="Q88" s="53"/>
      <x:c r="R88" s="53"/>
      <x:c r="S88" s="53"/>
      <x:c r="T88" s="53"/>
    </x:row>
    <x:row r="89">
      <x:c r="A89" s="41" t="str">
        <x:f>'Trial Plan'!A89</x:f>
        <x:v>T086</x:v>
      </x:c>
      <x:c r="B89" s="41" t="str">
        <x:f>'Trial Plan'!B89</x:f>
        <x:v>P05</x:v>
      </x:c>
      <x:c r="C89" s="41" t="str">
        <x:f>'Trial Plan'!H89</x:f>
        <x:v>Locate Action</x:v>
      </x:c>
      <x:c r="D89" s="41" t="str">
        <x:f>'Trial Plan'!I89</x:f>
        <x:v>Minimap</x:v>
      </x:c>
      <x:c r="E89" s="41" t="str">
        <x:f>'Trial Plan'!K89</x:f>
        <x:v>pressure</x:v>
      </x:c>
      <x:c r="F89" s="41" t="n">
        <x:f>'Trial Plan'!L89</x:f>
        <x:v>113</x:v>
      </x:c>
      <x:c r="G89" s="41" t="str">
        <x:f>'Trial Plan'!M89</x:f>
        <x:v>Pressure Advance 1</x:v>
      </x:c>
      <x:c r="H89" s="85"/>
      <x:c r="I89" s="86"/>
      <x:c r="J89" s="86"/>
      <x:c r="K89" s="86"/>
      <x:c r="L89" s="53"/>
      <x:c r="M89" s="86"/>
      <x:c r="N89" s="86"/>
      <x:c r="O89" s="53"/>
      <x:c r="P89" s="53"/>
      <x:c r="Q89" s="53"/>
      <x:c r="R89" s="53"/>
      <x:c r="S89" s="53"/>
      <x:c r="T89" s="53"/>
    </x:row>
    <x:row r="90">
      <x:c r="A90" s="41" t="str">
        <x:f>'Trial Plan'!A90</x:f>
        <x:v>T087</x:v>
      </x:c>
      <x:c r="B90" s="41" t="str">
        <x:f>'Trial Plan'!B90</x:f>
        <x:v>P05</x:v>
      </x:c>
      <x:c r="C90" s="41" t="str">
        <x:f>'Trial Plan'!H90</x:f>
        <x:v>Locate Action</x:v>
      </x:c>
      <x:c r="D90" s="41" t="str">
        <x:f>'Trial Plan'!I90</x:f>
        <x:v>Fisheye</x:v>
      </x:c>
      <x:c r="E90" s="41" t="str">
        <x:f>'Trial Plan'!K90</x:f>
        <x:v>vertical</x:v>
      </x:c>
      <x:c r="F90" s="41" t="n">
        <x:f>'Trial Plan'!L90</x:f>
        <x:v>91</x:v>
      </x:c>
      <x:c r="G90" s="41" t="str">
        <x:f>'Trial Plan'!M90</x:f>
        <x:v>Climb Ladder 1</x:v>
      </x:c>
      <x:c r="H90" s="85"/>
      <x:c r="I90" s="86"/>
      <x:c r="J90" s="86"/>
      <x:c r="K90" s="86"/>
      <x:c r="L90" s="53"/>
      <x:c r="M90" s="86"/>
      <x:c r="N90" s="86"/>
      <x:c r="O90" s="53"/>
      <x:c r="P90" s="53"/>
      <x:c r="Q90" s="53"/>
      <x:c r="R90" s="53"/>
      <x:c r="S90" s="53"/>
      <x:c r="T90" s="53"/>
    </x:row>
    <x:row r="91">
      <x:c r="A91" s="41" t="str">
        <x:f>'Trial Plan'!A91</x:f>
        <x:v>T088</x:v>
      </x:c>
      <x:c r="B91" s="41" t="str">
        <x:f>'Trial Plan'!B91</x:f>
        <x:v>P05</x:v>
      </x:c>
      <x:c r="C91" s="41" t="str">
        <x:f>'Trial Plan'!H91</x:f>
        <x:v>Locate Action</x:v>
      </x:c>
      <x:c r="D91" s="41" t="str">
        <x:f>'Trial Plan'!I91</x:f>
        <x:v>Baseline</x:v>
      </x:c>
      <x:c r="E91" s="41" t="str">
        <x:f>'Trial Plan'!K91</x:f>
        <x:v>search</x:v>
      </x:c>
      <x:c r="F91" s="41" t="n">
        <x:f>'Trial Plan'!L91</x:f>
        <x:v>156</x:v>
      </x:c>
      <x:c r="G91" s="41" t="str">
        <x:f>'Trial Plan'!M91</x:f>
        <x:v>Search Movement 1</x:v>
      </x:c>
      <x:c r="H91" s="85"/>
      <x:c r="I91" s="86"/>
      <x:c r="J91" s="86"/>
      <x:c r="K91" s="86"/>
      <x:c r="L91" s="53"/>
      <x:c r="M91" s="86"/>
      <x:c r="N91" s="86"/>
      <x:c r="O91" s="53"/>
      <x:c r="P91" s="53"/>
      <x:c r="Q91" s="53"/>
      <x:c r="R91" s="53"/>
      <x:c r="S91" s="53"/>
      <x:c r="T91" s="53"/>
    </x:row>
    <x:row r="92">
      <x:c r="A92" s="41" t="str">
        <x:f>'Trial Plan'!A92</x:f>
        <x:v>T089</x:v>
      </x:c>
      <x:c r="B92" s="41" t="str">
        <x:f>'Trial Plan'!B92</x:f>
        <x:v>P05</x:v>
      </x:c>
      <x:c r="C92" s="41" t="str">
        <x:f>'Trial Plan'!H92</x:f>
        <x:v>Locate Action</x:v>
      </x:c>
      <x:c r="D92" s="41" t="str">
        <x:f>'Trial Plan'!I92</x:f>
        <x:v>Collapse</x:v>
      </x:c>
      <x:c r="E92" s="41" t="str">
        <x:f>'Trial Plan'!K92</x:f>
        <x:v>obstacle</x:v>
      </x:c>
      <x:c r="F92" s="41" t="n">
        <x:f>'Trial Plan'!L92</x:f>
        <x:v>83</x:v>
      </x:c>
      <x:c r="G92" s="41" t="str">
        <x:f>'Trial Plan'!M92</x:f>
        <x:v>Jump Obstacle 1</x:v>
      </x:c>
      <x:c r="H92" s="85"/>
      <x:c r="I92" s="86"/>
      <x:c r="J92" s="86"/>
      <x:c r="K92" s="86"/>
      <x:c r="L92" s="53"/>
      <x:c r="M92" s="86"/>
      <x:c r="N92" s="86"/>
      <x:c r="O92" s="53"/>
      <x:c r="P92" s="53"/>
      <x:c r="Q92" s="53"/>
      <x:c r="R92" s="53"/>
      <x:c r="S92" s="53"/>
      <x:c r="T92" s="53"/>
    </x:row>
    <x:row r="93">
      <x:c r="A93" s="41" t="str">
        <x:f>'Trial Plan'!A93</x:f>
        <x:v>T090</x:v>
      </x:c>
      <x:c r="B93" s="41" t="str">
        <x:f>'Trial Plan'!B93</x:f>
        <x:v>P05</x:v>
      </x:c>
      <x:c r="C93" s="41" t="str">
        <x:f>'Trial Plan'!H93</x:f>
        <x:v>Locate Action</x:v>
      </x:c>
      <x:c r="D93" s="41" t="str">
        <x:f>'Trial Plan'!I93</x:f>
        <x:v>Compact</x:v>
      </x:c>
      <x:c r="E93" s="41" t="str">
        <x:f>'Trial Plan'!K93</x:f>
        <x:v>patrol</x:v>
      </x:c>
      <x:c r="F93" s="41" t="n">
        <x:f>'Trial Plan'!L93</x:f>
        <x:v>201</x:v>
      </x:c>
      <x:c r="G93" s="41" t="str">
        <x:f>'Trial Plan'!M93</x:f>
        <x:v>Observe Patrol Point 1</x:v>
      </x:c>
      <x:c r="H93" s="85"/>
      <x:c r="I93" s="86"/>
      <x:c r="J93" s="86"/>
      <x:c r="K93" s="86"/>
      <x:c r="L93" s="53"/>
      <x:c r="M93" s="86"/>
      <x:c r="N93" s="86"/>
      <x:c r="O93" s="53"/>
      <x:c r="P93" s="53"/>
      <x:c r="Q93" s="53"/>
      <x:c r="R93" s="53"/>
      <x:c r="S93" s="53"/>
      <x:c r="T93" s="53"/>
    </x:row>
    <x:row r="94">
      <x:c r="A94" s="41" t="str">
        <x:f>'Trial Plan'!A94</x:f>
        <x:v>T091</x:v>
      </x:c>
      <x:c r="B94" s="41" t="str">
        <x:f>'Trial Plan'!B94</x:f>
        <x:v>P06</x:v>
      </x:c>
      <x:c r="C94" s="41" t="str">
        <x:f>'Trial Plan'!H94</x:f>
        <x:v>Edit Decorator</x:v>
      </x:c>
      <x:c r="D94" s="41" t="str">
        <x:f>'Trial Plan'!I94</x:f>
        <x:v>Minimap</x:v>
      </x:c>
      <x:c r="E94" s="41" t="str">
        <x:f>'Trial Plan'!K94</x:f>
        <x:v>return</x:v>
      </x:c>
      <x:c r="F94" s="41" t="n">
        <x:f>'Trial Plan'!L94</x:f>
        <x:v>182</x:v>
      </x:c>
      <x:c r="G94" s="41" t="str">
        <x:f>'Trial Plan'!M94</x:f>
        <x:v>Return Step Limit 1</x:v>
      </x:c>
      <x:c r="H94" s="85"/>
      <x:c r="I94" s="86"/>
      <x:c r="J94" s="86"/>
      <x:c r="K94" s="86"/>
      <x:c r="L94" s="53"/>
      <x:c r="M94" s="86"/>
      <x:c r="N94" s="86"/>
      <x:c r="O94" s="53"/>
      <x:c r="P94" s="53"/>
      <x:c r="Q94" s="53"/>
      <x:c r="R94" s="53"/>
      <x:c r="S94" s="53"/>
      <x:c r="T94" s="53"/>
    </x:row>
    <x:row r="95">
      <x:c r="A95" s="41" t="str">
        <x:f>'Trial Plan'!A95</x:f>
        <x:v>T092</x:v>
      </x:c>
      <x:c r="B95" s="41" t="str">
        <x:f>'Trial Plan'!B95</x:f>
        <x:v>P06</x:v>
      </x:c>
      <x:c r="C95" s="41" t="str">
        <x:f>'Trial Plan'!H95</x:f>
        <x:v>Edit Decorator</x:v>
      </x:c>
      <x:c r="D95" s="41" t="str">
        <x:f>'Trial Plan'!I95</x:f>
        <x:v>Baseline</x:v>
      </x:c>
      <x:c r="E95" s="41" t="str">
        <x:f>'Trial Plan'!K95</x:f>
        <x:v>patrol</x:v>
      </x:c>
      <x:c r="F95" s="41" t="n">
        <x:f>'Trial Plan'!L95</x:f>
        <x:v>202</x:v>
      </x:c>
      <x:c r="G95" s="41" t="str">
        <x:f>'Trial Plan'!M95</x:f>
        <x:v>Patrol Leg Limit 1</x:v>
      </x:c>
      <x:c r="H95" s="85"/>
      <x:c r="I95" s="86"/>
      <x:c r="J95" s="86"/>
      <x:c r="K95" s="86"/>
      <x:c r="L95" s="53"/>
      <x:c r="M95" s="86"/>
      <x:c r="N95" s="86"/>
      <x:c r="O95" s="53"/>
      <x:c r="P95" s="53"/>
      <x:c r="Q95" s="53"/>
      <x:c r="R95" s="53"/>
      <x:c r="S95" s="53"/>
      <x:c r="T95" s="53"/>
    </x:row>
    <x:row r="96">
      <x:c r="A96" s="41" t="str">
        <x:f>'Trial Plan'!A96</x:f>
        <x:v>T093</x:v>
      </x:c>
      <x:c r="B96" s="41" t="str">
        <x:f>'Trial Plan'!B96</x:f>
        <x:v>P06</x:v>
      </x:c>
      <x:c r="C96" s="41" t="str">
        <x:f>'Trial Plan'!H96</x:f>
        <x:v>Edit Decorator</x:v>
      </x:c>
      <x:c r="D96" s="41" t="str">
        <x:f>'Trial Plan'!I96</x:f>
        <x:v>Search</x:v>
      </x:c>
      <x:c r="E96" s="41" t="str">
        <x:f>'Trial Plan'!K96</x:f>
        <x:v>search</x:v>
      </x:c>
      <x:c r="F96" s="41" t="n">
        <x:f>'Trial Plan'!L96</x:f>
        <x:v>159</x:v>
      </x:c>
      <x:c r="G96" s="41" t="str">
        <x:f>'Trial Plan'!M96</x:f>
        <x:v>Search Leg Limit 1</x:v>
      </x:c>
      <x:c r="H96" s="85"/>
      <x:c r="I96" s="86"/>
      <x:c r="J96" s="86"/>
      <x:c r="K96" s="86"/>
      <x:c r="L96" s="53"/>
      <x:c r="M96" s="86"/>
      <x:c r="N96" s="86"/>
      <x:c r="O96" s="53"/>
      <x:c r="P96" s="53"/>
      <x:c r="Q96" s="53"/>
      <x:c r="R96" s="53"/>
      <x:c r="S96" s="53"/>
      <x:c r="T96" s="53"/>
    </x:row>
    <x:row r="97">
      <x:c r="A97" s="41" t="str">
        <x:f>'Trial Plan'!A97</x:f>
        <x:v>T094</x:v>
      </x:c>
      <x:c r="B97" s="41" t="str">
        <x:f>'Trial Plan'!B97</x:f>
        <x:v>P06</x:v>
      </x:c>
      <x:c r="C97" s="41" t="str">
        <x:f>'Trial Plan'!H97</x:f>
        <x:v>Edit Decorator</x:v>
      </x:c>
      <x:c r="D97" s="41" t="str">
        <x:f>'Trial Plan'!I97</x:f>
        <x:v>Compact</x:v>
      </x:c>
      <x:c r="E97" s="41" t="str">
        <x:f>'Trial Plan'!K97</x:f>
        <x:v>defense</x:v>
      </x:c>
      <x:c r="F97" s="41" t="n">
        <x:f>'Trial Plan'!L97</x:f>
        <x:v>31</x:v>
      </x:c>
      <x:c r="G97" s="41" t="str">
        <x:f>'Trial Plan'!M97</x:f>
        <x:v>Defense Cooldown 1</x:v>
      </x:c>
      <x:c r="H97" s="85"/>
      <x:c r="I97" s="86"/>
      <x:c r="J97" s="86"/>
      <x:c r="K97" s="86"/>
      <x:c r="L97" s="53"/>
      <x:c r="M97" s="86"/>
      <x:c r="N97" s="86"/>
      <x:c r="O97" s="53"/>
      <x:c r="P97" s="53"/>
      <x:c r="Q97" s="53"/>
      <x:c r="R97" s="53"/>
      <x:c r="S97" s="53"/>
      <x:c r="T97" s="53"/>
    </x:row>
    <x:row r="98">
      <x:c r="A98" s="41" t="str">
        <x:f>'Trial Plan'!A98</x:f>
        <x:v>T095</x:v>
      </x:c>
      <x:c r="B98" s="41" t="str">
        <x:f>'Trial Plan'!B98</x:f>
        <x:v>P06</x:v>
      </x:c>
      <x:c r="C98" s="41" t="str">
        <x:f>'Trial Plan'!H98</x:f>
        <x:v>Edit Decorator</x:v>
      </x:c>
      <x:c r="D98" s="41" t="str">
        <x:f>'Trial Plan'!I98</x:f>
        <x:v>Fisheye</x:v>
      </x:c>
      <x:c r="E98" s="41" t="str">
        <x:f>'Trial Plan'!K98</x:f>
        <x:v>chase</x:v>
      </x:c>
      <x:c r="F98" s="41" t="n">
        <x:f>'Trial Plan'!L98</x:f>
        <x:v>133</x:v>
      </x:c>
      <x:c r="G98" s="41" t="str">
        <x:f>'Trial Plan'!M98</x:f>
        <x:v>Chase Step Limit 1</x:v>
      </x:c>
      <x:c r="H98" s="85"/>
      <x:c r="I98" s="86"/>
      <x:c r="J98" s="86"/>
      <x:c r="K98" s="86"/>
      <x:c r="L98" s="53"/>
      <x:c r="M98" s="86"/>
      <x:c r="N98" s="86"/>
      <x:c r="O98" s="53"/>
      <x:c r="P98" s="53"/>
      <x:c r="Q98" s="53"/>
      <x:c r="R98" s="53"/>
      <x:c r="S98" s="53"/>
      <x:c r="T98" s="53"/>
    </x:row>
    <x:row r="99">
      <x:c r="A99" s="41" t="str">
        <x:f>'Trial Plan'!A99</x:f>
        <x:v>T096</x:v>
      </x:c>
      <x:c r="B99" s="41" t="str">
        <x:f>'Trial Plan'!B99</x:f>
        <x:v>P06</x:v>
      </x:c>
      <x:c r="C99" s="41" t="str">
        <x:f>'Trial Plan'!H99</x:f>
        <x:v>Edit Decorator</x:v>
      </x:c>
      <x:c r="D99" s="41" t="str">
        <x:f>'Trial Plan'!I99</x:f>
        <x:v>Collapse</x:v>
      </x:c>
      <x:c r="E99" s="41" t="str">
        <x:f>'Trial Plan'!K99</x:f>
        <x:v>pressure</x:v>
      </x:c>
      <x:c r="F99" s="41" t="n">
        <x:f>'Trial Plan'!L99</x:f>
        <x:v>114</x:v>
      </x:c>
      <x:c r="G99" s="41" t="str">
        <x:f>'Trial Plan'!M99</x:f>
        <x:v>Pressure Cooldown 1</x:v>
      </x:c>
      <x:c r="H99" s="85"/>
      <x:c r="I99" s="86"/>
      <x:c r="J99" s="86"/>
      <x:c r="K99" s="86"/>
      <x:c r="L99" s="53"/>
      <x:c r="M99" s="86"/>
      <x:c r="N99" s="86"/>
      <x:c r="O99" s="53"/>
      <x:c r="P99" s="53"/>
      <x:c r="Q99" s="53"/>
      <x:c r="R99" s="53"/>
      <x:c r="S99" s="53"/>
      <x:c r="T99" s="53"/>
    </x:row>
    <x:row r="100">
      <x:c r="A100" s="41" t="str">
        <x:f>'Trial Plan'!A100</x:f>
        <x:v>T097</x:v>
      </x:c>
      <x:c r="B100" s="41" t="str">
        <x:f>'Trial Plan'!B100</x:f>
        <x:v>P06</x:v>
      </x:c>
      <x:c r="C100" s="41" t="str">
        <x:f>'Trial Plan'!H100</x:f>
        <x:v>Locate Action</x:v>
      </x:c>
      <x:c r="D100" s="41" t="str">
        <x:f>'Trial Plan'!I100</x:f>
        <x:v>Minimap</x:v>
      </x:c>
      <x:c r="E100" s="41" t="str">
        <x:f>'Trial Plan'!K100</x:f>
        <x:v>search</x:v>
      </x:c>
      <x:c r="F100" s="41" t="n">
        <x:f>'Trial Plan'!L100</x:f>
        <x:v>156</x:v>
      </x:c>
      <x:c r="G100" s="41" t="str">
        <x:f>'Trial Plan'!M100</x:f>
        <x:v>Search Movement 1</x:v>
      </x:c>
      <x:c r="H100" s="85"/>
      <x:c r="I100" s="86"/>
      <x:c r="J100" s="86"/>
      <x:c r="K100" s="86"/>
      <x:c r="L100" s="53"/>
      <x:c r="M100" s="86"/>
      <x:c r="N100" s="86"/>
      <x:c r="O100" s="53"/>
      <x:c r="P100" s="53"/>
      <x:c r="Q100" s="53"/>
      <x:c r="R100" s="53"/>
      <x:c r="S100" s="53"/>
      <x:c r="T100" s="53"/>
    </x:row>
    <x:row r="101">
      <x:c r="A101" s="41" t="str">
        <x:f>'Trial Plan'!A101</x:f>
        <x:v>T098</x:v>
      </x:c>
      <x:c r="B101" s="41" t="str">
        <x:f>'Trial Plan'!B101</x:f>
        <x:v>P06</x:v>
      </x:c>
      <x:c r="C101" s="41" t="str">
        <x:f>'Trial Plan'!H101</x:f>
        <x:v>Locate Action</x:v>
      </x:c>
      <x:c r="D101" s="41" t="str">
        <x:f>'Trial Plan'!I101</x:f>
        <x:v>Baseline</x:v>
      </x:c>
      <x:c r="E101" s="41" t="str">
        <x:f>'Trial Plan'!K101</x:f>
        <x:v>patrol</x:v>
      </x:c>
      <x:c r="F101" s="41" t="n">
        <x:f>'Trial Plan'!L101</x:f>
        <x:v>201</x:v>
      </x:c>
      <x:c r="G101" s="41" t="str">
        <x:f>'Trial Plan'!M101</x:f>
        <x:v>Observe Patrol Point 1</x:v>
      </x:c>
      <x:c r="H101" s="85"/>
      <x:c r="I101" s="86"/>
      <x:c r="J101" s="86"/>
      <x:c r="K101" s="86"/>
      <x:c r="L101" s="53"/>
      <x:c r="M101" s="86"/>
      <x:c r="N101" s="86"/>
      <x:c r="O101" s="53"/>
      <x:c r="P101" s="53"/>
      <x:c r="Q101" s="53"/>
      <x:c r="R101" s="53"/>
      <x:c r="S101" s="53"/>
      <x:c r="T101" s="53"/>
    </x:row>
    <x:row r="102">
      <x:c r="A102" s="41" t="str">
        <x:f>'Trial Plan'!A102</x:f>
        <x:v>T099</x:v>
      </x:c>
      <x:c r="B102" s="41" t="str">
        <x:f>'Trial Plan'!B102</x:f>
        <x:v>P06</x:v>
      </x:c>
      <x:c r="C102" s="41" t="str">
        <x:f>'Trial Plan'!H102</x:f>
        <x:v>Locate Action</x:v>
      </x:c>
      <x:c r="D102" s="41" t="str">
        <x:f>'Trial Plan'!I102</x:f>
        <x:v>Search</x:v>
      </x:c>
      <x:c r="E102" s="41" t="str">
        <x:f>'Trial Plan'!K102</x:f>
        <x:v>pressure</x:v>
      </x:c>
      <x:c r="F102" s="41" t="n">
        <x:f>'Trial Plan'!L102</x:f>
        <x:v>113</x:v>
      </x:c>
      <x:c r="G102" s="41" t="str">
        <x:f>'Trial Plan'!M102</x:f>
        <x:v>Pressure Advance 1</x:v>
      </x:c>
      <x:c r="H102" s="85"/>
      <x:c r="I102" s="86"/>
      <x:c r="J102" s="86"/>
      <x:c r="K102" s="86"/>
      <x:c r="L102" s="53"/>
      <x:c r="M102" s="86"/>
      <x:c r="N102" s="86"/>
      <x:c r="O102" s="53"/>
      <x:c r="P102" s="53"/>
      <x:c r="Q102" s="53"/>
      <x:c r="R102" s="53"/>
      <x:c r="S102" s="53"/>
      <x:c r="T102" s="53"/>
    </x:row>
    <x:row r="103">
      <x:c r="A103" s="41" t="str">
        <x:f>'Trial Plan'!A103</x:f>
        <x:v>T100</x:v>
      </x:c>
      <x:c r="B103" s="41" t="str">
        <x:f>'Trial Plan'!B103</x:f>
        <x:v>P06</x:v>
      </x:c>
      <x:c r="C103" s="41" t="str">
        <x:f>'Trial Plan'!H103</x:f>
        <x:v>Locate Action</x:v>
      </x:c>
      <x:c r="D103" s="41" t="str">
        <x:f>'Trial Plan'!I103</x:f>
        <x:v>Compact</x:v>
      </x:c>
      <x:c r="E103" s="41" t="str">
        <x:f>'Trial Plan'!K103</x:f>
        <x:v>obstacle</x:v>
      </x:c>
      <x:c r="F103" s="41" t="n">
        <x:f>'Trial Plan'!L103</x:f>
        <x:v>83</x:v>
      </x:c>
      <x:c r="G103" s="41" t="str">
        <x:f>'Trial Plan'!M103</x:f>
        <x:v>Jump Obstacle 1</x:v>
      </x:c>
      <x:c r="H103" s="85"/>
      <x:c r="I103" s="86"/>
      <x:c r="J103" s="86"/>
      <x:c r="K103" s="86"/>
      <x:c r="L103" s="53"/>
      <x:c r="M103" s="86"/>
      <x:c r="N103" s="86"/>
      <x:c r="O103" s="53"/>
      <x:c r="P103" s="53"/>
      <x:c r="Q103" s="53"/>
      <x:c r="R103" s="53"/>
      <x:c r="S103" s="53"/>
      <x:c r="T103" s="53"/>
    </x:row>
    <x:row r="104">
      <x:c r="A104" s="41" t="str">
        <x:f>'Trial Plan'!A104</x:f>
        <x:v>T101</x:v>
      </x:c>
      <x:c r="B104" s="41" t="str">
        <x:f>'Trial Plan'!B104</x:f>
        <x:v>P06</x:v>
      </x:c>
      <x:c r="C104" s="41" t="str">
        <x:f>'Trial Plan'!H104</x:f>
        <x:v>Locate Action</x:v>
      </x:c>
      <x:c r="D104" s="41" t="str">
        <x:f>'Trial Plan'!I104</x:f>
        <x:v>Fisheye</x:v>
      </x:c>
      <x:c r="E104" s="41" t="str">
        <x:f>'Trial Plan'!K104</x:f>
        <x:v>ranged</x:v>
      </x:c>
      <x:c r="F104" s="41" t="n">
        <x:f>'Trial Plan'!L104</x:f>
        <x:v>101</x:v>
      </x:c>
      <x:c r="G104" s="41" t="str">
        <x:f>'Trial Plan'!M104</x:f>
        <x:v>Fire Projectile 1</x:v>
      </x:c>
      <x:c r="H104" s="85"/>
      <x:c r="I104" s="86"/>
      <x:c r="J104" s="86"/>
      <x:c r="K104" s="86"/>
      <x:c r="L104" s="53"/>
      <x:c r="M104" s="86"/>
      <x:c r="N104" s="86"/>
      <x:c r="O104" s="53"/>
      <x:c r="P104" s="53"/>
      <x:c r="Q104" s="53"/>
      <x:c r="R104" s="53"/>
      <x:c r="S104" s="53"/>
      <x:c r="T104" s="53"/>
    </x:row>
    <x:row r="105">
      <x:c r="A105" s="41" t="str">
        <x:f>'Trial Plan'!A105</x:f>
        <x:v>T102</x:v>
      </x:c>
      <x:c r="B105" s="41" t="str">
        <x:f>'Trial Plan'!B105</x:f>
        <x:v>P06</x:v>
      </x:c>
      <x:c r="C105" s="41" t="str">
        <x:f>'Trial Plan'!H105</x:f>
        <x:v>Locate Action</x:v>
      </x:c>
      <x:c r="D105" s="41" t="str">
        <x:f>'Trial Plan'!I105</x:f>
        <x:v>Collapse</x:v>
      </x:c>
      <x:c r="E105" s="41" t="str">
        <x:f>'Trial Plan'!K105</x:f>
        <x:v>vertical</x:v>
      </x:c>
      <x:c r="F105" s="41" t="n">
        <x:f>'Trial Plan'!L105</x:f>
        <x:v>91</x:v>
      </x:c>
      <x:c r="G105" s="41" t="str">
        <x:f>'Trial Plan'!M105</x:f>
        <x:v>Climb Ladder 1</x:v>
      </x:c>
      <x:c r="H105" s="85"/>
      <x:c r="I105" s="86"/>
      <x:c r="J105" s="86"/>
      <x:c r="K105" s="86"/>
      <x:c r="L105" s="53"/>
      <x:c r="M105" s="86"/>
      <x:c r="N105" s="86"/>
      <x:c r="O105" s="53"/>
      <x:c r="P105" s="53"/>
      <x:c r="Q105" s="53"/>
      <x:c r="R105" s="53"/>
      <x:c r="S105" s="53"/>
      <x:c r="T105" s="53"/>
    </x:row>
    <x:row r="106">
      <x:c r="A106" s="41" t="str">
        <x:f>'Trial Plan'!A106</x:f>
        <x:v>T103</x:v>
      </x:c>
      <x:c r="B106" s="41" t="str">
        <x:f>'Trial Plan'!B106</x:f>
        <x:v>P06</x:v>
      </x:c>
      <x:c r="C106" s="41" t="str">
        <x:f>'Trial Plan'!H106</x:f>
        <x:v>Trace Active Path</x:v>
      </x:c>
      <x:c r="D106" s="41" t="str">
        <x:f>'Trial Plan'!I106</x:f>
        <x:v>Minimap</x:v>
      </x:c>
      <x:c r="E106" s="41" t="str">
        <x:f>'Trial Plan'!K106</x:f>
        <x:v>search</x:v>
      </x:c>
      <x:c r="F106" s="41" t="n">
        <x:f>'Trial Plan'!L106</x:f>
        <x:v>156</x:v>
      </x:c>
      <x:c r="G106" s="41" t="str">
        <x:f>'Trial Plan'!M106</x:f>
        <x:v>Search Movement 1</x:v>
      </x:c>
      <x:c r="H106" s="85"/>
      <x:c r="I106" s="86"/>
      <x:c r="J106" s="86"/>
      <x:c r="K106" s="86"/>
      <x:c r="L106" s="53"/>
      <x:c r="M106" s="86"/>
      <x:c r="N106" s="86"/>
      <x:c r="O106" s="53"/>
      <x:c r="P106" s="53"/>
      <x:c r="Q106" s="53"/>
      <x:c r="R106" s="53"/>
      <x:c r="S106" s="53"/>
      <x:c r="T106" s="53"/>
    </x:row>
    <x:row r="107">
      <x:c r="A107" s="41" t="str">
        <x:f>'Trial Plan'!A107</x:f>
        <x:v>T104</x:v>
      </x:c>
      <x:c r="B107" s="41" t="str">
        <x:f>'Trial Plan'!B107</x:f>
        <x:v>P06</x:v>
      </x:c>
      <x:c r="C107" s="41" t="str">
        <x:f>'Trial Plan'!H107</x:f>
        <x:v>Trace Active Path</x:v>
      </x:c>
      <x:c r="D107" s="41" t="str">
        <x:f>'Trial Plan'!I107</x:f>
        <x:v>Baseline</x:v>
      </x:c>
      <x:c r="E107" s="41" t="str">
        <x:f>'Trial Plan'!K107</x:f>
        <x:v>patrol</x:v>
      </x:c>
      <x:c r="F107" s="41" t="n">
        <x:f>'Trial Plan'!L107</x:f>
        <x:v>201</x:v>
      </x:c>
      <x:c r="G107" s="41" t="str">
        <x:f>'Trial Plan'!M107</x:f>
        <x:v>Observe Patrol Point 1</x:v>
      </x:c>
      <x:c r="H107" s="85"/>
      <x:c r="I107" s="86"/>
      <x:c r="J107" s="86"/>
      <x:c r="K107" s="86"/>
      <x:c r="L107" s="53"/>
      <x:c r="M107" s="86"/>
      <x:c r="N107" s="86"/>
      <x:c r="O107" s="53"/>
      <x:c r="P107" s="53"/>
      <x:c r="Q107" s="53"/>
      <x:c r="R107" s="53"/>
      <x:c r="S107" s="53"/>
      <x:c r="T107" s="53"/>
    </x:row>
    <x:row r="108">
      <x:c r="A108" s="41" t="str">
        <x:f>'Trial Plan'!A108</x:f>
        <x:v>T105</x:v>
      </x:c>
      <x:c r="B108" s="41" t="str">
        <x:f>'Trial Plan'!B108</x:f>
        <x:v>P06</x:v>
      </x:c>
      <x:c r="C108" s="41" t="str">
        <x:f>'Trial Plan'!H108</x:f>
        <x:v>Trace Active Path</x:v>
      </x:c>
      <x:c r="D108" s="41" t="str">
        <x:f>'Trial Plan'!I108</x:f>
        <x:v>Search</x:v>
      </x:c>
      <x:c r="E108" s="41" t="str">
        <x:f>'Trial Plan'!K108</x:f>
        <x:v>pressure</x:v>
      </x:c>
      <x:c r="F108" s="41" t="n">
        <x:f>'Trial Plan'!L108</x:f>
        <x:v>113</x:v>
      </x:c>
      <x:c r="G108" s="41" t="str">
        <x:f>'Trial Plan'!M108</x:f>
        <x:v>Pressure Advance 1</x:v>
      </x:c>
      <x:c r="H108" s="85"/>
      <x:c r="I108" s="86"/>
      <x:c r="J108" s="86"/>
      <x:c r="K108" s="86"/>
      <x:c r="L108" s="53"/>
      <x:c r="M108" s="86"/>
      <x:c r="N108" s="86"/>
      <x:c r="O108" s="53"/>
      <x:c r="P108" s="53"/>
      <x:c r="Q108" s="53"/>
      <x:c r="R108" s="53"/>
      <x:c r="S108" s="53"/>
      <x:c r="T108" s="53"/>
    </x:row>
    <x:row r="109">
      <x:c r="A109" s="41" t="str">
        <x:f>'Trial Plan'!A109</x:f>
        <x:v>T106</x:v>
      </x:c>
      <x:c r="B109" s="41" t="str">
        <x:f>'Trial Plan'!B109</x:f>
        <x:v>P06</x:v>
      </x:c>
      <x:c r="C109" s="41" t="str">
        <x:f>'Trial Plan'!H109</x:f>
        <x:v>Trace Active Path</x:v>
      </x:c>
      <x:c r="D109" s="41" t="str">
        <x:f>'Trial Plan'!I109</x:f>
        <x:v>Compact</x:v>
      </x:c>
      <x:c r="E109" s="41" t="str">
        <x:f>'Trial Plan'!K109</x:f>
        <x:v>obstacle</x:v>
      </x:c>
      <x:c r="F109" s="41" t="n">
        <x:f>'Trial Plan'!L109</x:f>
        <x:v>83</x:v>
      </x:c>
      <x:c r="G109" s="41" t="str">
        <x:f>'Trial Plan'!M109</x:f>
        <x:v>Jump Obstacle 1</x:v>
      </x:c>
      <x:c r="H109" s="85"/>
      <x:c r="I109" s="86"/>
      <x:c r="J109" s="86"/>
      <x:c r="K109" s="86"/>
      <x:c r="L109" s="53"/>
      <x:c r="M109" s="86"/>
      <x:c r="N109" s="86"/>
      <x:c r="O109" s="53"/>
      <x:c r="P109" s="53"/>
      <x:c r="Q109" s="53"/>
      <x:c r="R109" s="53"/>
      <x:c r="S109" s="53"/>
      <x:c r="T109" s="53"/>
    </x:row>
    <x:row r="110">
      <x:c r="A110" s="41" t="str">
        <x:f>'Trial Plan'!A110</x:f>
        <x:v>T107</x:v>
      </x:c>
      <x:c r="B110" s="41" t="str">
        <x:f>'Trial Plan'!B110</x:f>
        <x:v>P06</x:v>
      </x:c>
      <x:c r="C110" s="41" t="str">
        <x:f>'Trial Plan'!H110</x:f>
        <x:v>Trace Active Path</x:v>
      </x:c>
      <x:c r="D110" s="41" t="str">
        <x:f>'Trial Plan'!I110</x:f>
        <x:v>Fisheye</x:v>
      </x:c>
      <x:c r="E110" s="41" t="str">
        <x:f>'Trial Plan'!K110</x:f>
        <x:v>ranged</x:v>
      </x:c>
      <x:c r="F110" s="41" t="n">
        <x:f>'Trial Plan'!L110</x:f>
        <x:v>101</x:v>
      </x:c>
      <x:c r="G110" s="41" t="str">
        <x:f>'Trial Plan'!M110</x:f>
        <x:v>Fire Projectile 1</x:v>
      </x:c>
      <x:c r="H110" s="85"/>
      <x:c r="I110" s="86"/>
      <x:c r="J110" s="86"/>
      <x:c r="K110" s="86"/>
      <x:c r="L110" s="53"/>
      <x:c r="M110" s="86"/>
      <x:c r="N110" s="86"/>
      <x:c r="O110" s="53"/>
      <x:c r="P110" s="53"/>
      <x:c r="Q110" s="53"/>
      <x:c r="R110" s="53"/>
      <x:c r="S110" s="53"/>
      <x:c r="T110" s="53"/>
    </x:row>
    <x:row r="111">
      <x:c r="A111" s="41" t="str">
        <x:f>'Trial Plan'!A111</x:f>
        <x:v>T108</x:v>
      </x:c>
      <x:c r="B111" s="41" t="str">
        <x:f>'Trial Plan'!B111</x:f>
        <x:v>P06</x:v>
      </x:c>
      <x:c r="C111" s="41" t="str">
        <x:f>'Trial Plan'!H111</x:f>
        <x:v>Trace Active Path</x:v>
      </x:c>
      <x:c r="D111" s="41" t="str">
        <x:f>'Trial Plan'!I111</x:f>
        <x:v>Collapse</x:v>
      </x:c>
      <x:c r="E111" s="41" t="str">
        <x:f>'Trial Plan'!K111</x:f>
        <x:v>vertical</x:v>
      </x:c>
      <x:c r="F111" s="41" t="n">
        <x:f>'Trial Plan'!L111</x:f>
        <x:v>91</x:v>
      </x:c>
      <x:c r="G111" s="41" t="str">
        <x:f>'Trial Plan'!M111</x:f>
        <x:v>Climb Ladder 1</x:v>
      </x:c>
      <x:c r="H111" s="85"/>
      <x:c r="I111" s="86"/>
      <x:c r="J111" s="86"/>
      <x:c r="K111" s="86"/>
      <x:c r="L111" s="53"/>
      <x:c r="M111" s="86"/>
      <x:c r="N111" s="86"/>
      <x:c r="O111" s="53"/>
      <x:c r="P111" s="53"/>
      <x:c r="Q111" s="53"/>
      <x:c r="R111" s="53"/>
      <x:c r="S111" s="53"/>
      <x:c r="T111" s="53"/>
    </x:row>
    <x:row r="112">
      <x:c r="A112" s="41" t="str">
        <x:f>'Trial Plan'!A112</x:f>
        <x:v>T109</x:v>
      </x:c>
      <x:c r="B112" s="41" t="str">
        <x:f>'Trial Plan'!B112</x:f>
        <x:v>P07</x:v>
      </x:c>
      <x:c r="C112" s="41" t="str">
        <x:f>'Trial Plan'!H112</x:f>
        <x:v>Locate Action</x:v>
      </x:c>
      <x:c r="D112" s="41" t="str">
        <x:f>'Trial Plan'!I112</x:f>
        <x:v>Baseline</x:v>
      </x:c>
      <x:c r="E112" s="41" t="str">
        <x:f>'Trial Plan'!K112</x:f>
        <x:v>obstacle</x:v>
      </x:c>
      <x:c r="F112" s="41" t="n">
        <x:f>'Trial Plan'!L112</x:f>
        <x:v>83</x:v>
      </x:c>
      <x:c r="G112" s="41" t="str">
        <x:f>'Trial Plan'!M112</x:f>
        <x:v>Jump Obstacle 1</x:v>
      </x:c>
      <x:c r="H112" s="85"/>
      <x:c r="I112" s="86"/>
      <x:c r="J112" s="86"/>
      <x:c r="K112" s="86"/>
      <x:c r="L112" s="53"/>
      <x:c r="M112" s="86"/>
      <x:c r="N112" s="86"/>
      <x:c r="O112" s="53"/>
      <x:c r="P112" s="53"/>
      <x:c r="Q112" s="53"/>
      <x:c r="R112" s="53"/>
      <x:c r="S112" s="53"/>
      <x:c r="T112" s="53"/>
    </x:row>
    <x:row r="113">
      <x:c r="A113" s="41" t="str">
        <x:f>'Trial Plan'!A113</x:f>
        <x:v>T110</x:v>
      </x:c>
      <x:c r="B113" s="41" t="str">
        <x:f>'Trial Plan'!B113</x:f>
        <x:v>P07</x:v>
      </x:c>
      <x:c r="C113" s="41" t="str">
        <x:f>'Trial Plan'!H113</x:f>
        <x:v>Locate Action</x:v>
      </x:c>
      <x:c r="D113" s="41" t="str">
        <x:f>'Trial Plan'!I113</x:f>
        <x:v>Compact</x:v>
      </x:c>
      <x:c r="E113" s="41" t="str">
        <x:f>'Trial Plan'!K113</x:f>
        <x:v>vertical</x:v>
      </x:c>
      <x:c r="F113" s="41" t="n">
        <x:f>'Trial Plan'!L113</x:f>
        <x:v>91</x:v>
      </x:c>
      <x:c r="G113" s="41" t="str">
        <x:f>'Trial Plan'!M113</x:f>
        <x:v>Climb Ladder 1</x:v>
      </x:c>
      <x:c r="H113" s="85"/>
      <x:c r="I113" s="86"/>
      <x:c r="J113" s="86"/>
      <x:c r="K113" s="86"/>
      <x:c r="L113" s="53"/>
      <x:c r="M113" s="86"/>
      <x:c r="N113" s="86"/>
      <x:c r="O113" s="53"/>
      <x:c r="P113" s="53"/>
      <x:c r="Q113" s="53"/>
      <x:c r="R113" s="53"/>
      <x:c r="S113" s="53"/>
      <x:c r="T113" s="53"/>
    </x:row>
    <x:row r="114">
      <x:c r="A114" s="41" t="str">
        <x:f>'Trial Plan'!A114</x:f>
        <x:v>T111</x:v>
      </x:c>
      <x:c r="B114" s="41" t="str">
        <x:f>'Trial Plan'!B114</x:f>
        <x:v>P07</x:v>
      </x:c>
      <x:c r="C114" s="41" t="str">
        <x:f>'Trial Plan'!H114</x:f>
        <x:v>Locate Action</x:v>
      </x:c>
      <x:c r="D114" s="41" t="str">
        <x:f>'Trial Plan'!I114</x:f>
        <x:v>Minimap</x:v>
      </x:c>
      <x:c r="E114" s="41" t="str">
        <x:f>'Trial Plan'!K114</x:f>
        <x:v>patrol</x:v>
      </x:c>
      <x:c r="F114" s="41" t="n">
        <x:f>'Trial Plan'!L114</x:f>
        <x:v>201</x:v>
      </x:c>
      <x:c r="G114" s="41" t="str">
        <x:f>'Trial Plan'!M114</x:f>
        <x:v>Observe Patrol Point 1</x:v>
      </x:c>
      <x:c r="H114" s="85"/>
      <x:c r="I114" s="86"/>
      <x:c r="J114" s="86"/>
      <x:c r="K114" s="86"/>
      <x:c r="L114" s="53"/>
      <x:c r="M114" s="86"/>
      <x:c r="N114" s="86"/>
      <x:c r="O114" s="53"/>
      <x:c r="P114" s="53"/>
      <x:c r="Q114" s="53"/>
      <x:c r="R114" s="53"/>
      <x:c r="S114" s="53"/>
      <x:c r="T114" s="53"/>
    </x:row>
    <x:row r="115">
      <x:c r="A115" s="41" t="str">
        <x:f>'Trial Plan'!A115</x:f>
        <x:v>T112</x:v>
      </x:c>
      <x:c r="B115" s="41" t="str">
        <x:f>'Trial Plan'!B115</x:f>
        <x:v>P07</x:v>
      </x:c>
      <x:c r="C115" s="41" t="str">
        <x:f>'Trial Plan'!H115</x:f>
        <x:v>Locate Action</x:v>
      </x:c>
      <x:c r="D115" s="41" t="str">
        <x:f>'Trial Plan'!I115</x:f>
        <x:v>Collapse</x:v>
      </x:c>
      <x:c r="E115" s="41" t="str">
        <x:f>'Trial Plan'!K115</x:f>
        <x:v>ranged</x:v>
      </x:c>
      <x:c r="F115" s="41" t="n">
        <x:f>'Trial Plan'!L115</x:f>
        <x:v>101</x:v>
      </x:c>
      <x:c r="G115" s="41" t="str">
        <x:f>'Trial Plan'!M115</x:f>
        <x:v>Fire Projectile 1</x:v>
      </x:c>
      <x:c r="H115" s="85"/>
      <x:c r="I115" s="86"/>
      <x:c r="J115" s="86"/>
      <x:c r="K115" s="86"/>
      <x:c r="L115" s="53"/>
      <x:c r="M115" s="86"/>
      <x:c r="N115" s="86"/>
      <x:c r="O115" s="53"/>
      <x:c r="P115" s="53"/>
      <x:c r="Q115" s="53"/>
      <x:c r="R115" s="53"/>
      <x:c r="S115" s="53"/>
      <x:c r="T115" s="53"/>
    </x:row>
    <x:row r="116">
      <x:c r="A116" s="41" t="str">
        <x:f>'Trial Plan'!A116</x:f>
        <x:v>T113</x:v>
      </x:c>
      <x:c r="B116" s="41" t="str">
        <x:f>'Trial Plan'!B116</x:f>
        <x:v>P07</x:v>
      </x:c>
      <x:c r="C116" s="41" t="str">
        <x:f>'Trial Plan'!H116</x:f>
        <x:v>Locate Action</x:v>
      </x:c>
      <x:c r="D116" s="41" t="str">
        <x:f>'Trial Plan'!I116</x:f>
        <x:v>Search</x:v>
      </x:c>
      <x:c r="E116" s="41" t="str">
        <x:f>'Trial Plan'!K116</x:f>
        <x:v>search</x:v>
      </x:c>
      <x:c r="F116" s="41" t="n">
        <x:f>'Trial Plan'!L116</x:f>
        <x:v>156</x:v>
      </x:c>
      <x:c r="G116" s="41" t="str">
        <x:f>'Trial Plan'!M116</x:f>
        <x:v>Search Movement 1</x:v>
      </x:c>
      <x:c r="H116" s="85"/>
      <x:c r="I116" s="86"/>
      <x:c r="J116" s="86"/>
      <x:c r="K116" s="86"/>
      <x:c r="L116" s="53"/>
      <x:c r="M116" s="86"/>
      <x:c r="N116" s="86"/>
      <x:c r="O116" s="53"/>
      <x:c r="P116" s="53"/>
      <x:c r="Q116" s="53"/>
      <x:c r="R116" s="53"/>
      <x:c r="S116" s="53"/>
      <x:c r="T116" s="53"/>
    </x:row>
    <x:row r="117">
      <x:c r="A117" s="41" t="str">
        <x:f>'Trial Plan'!A117</x:f>
        <x:v>T114</x:v>
      </x:c>
      <x:c r="B117" s="41" t="str">
        <x:f>'Trial Plan'!B117</x:f>
        <x:v>P07</x:v>
      </x:c>
      <x:c r="C117" s="41" t="str">
        <x:f>'Trial Plan'!H117</x:f>
        <x:v>Locate Action</x:v>
      </x:c>
      <x:c r="D117" s="41" t="str">
        <x:f>'Trial Plan'!I117</x:f>
        <x:v>Fisheye</x:v>
      </x:c>
      <x:c r="E117" s="41" t="str">
        <x:f>'Trial Plan'!K117</x:f>
        <x:v>pressure</x:v>
      </x:c>
      <x:c r="F117" s="41" t="n">
        <x:f>'Trial Plan'!L117</x:f>
        <x:v>113</x:v>
      </x:c>
      <x:c r="G117" s="41" t="str">
        <x:f>'Trial Plan'!M117</x:f>
        <x:v>Pressure Advance 1</x:v>
      </x:c>
      <x:c r="H117" s="85"/>
      <x:c r="I117" s="86"/>
      <x:c r="J117" s="86"/>
      <x:c r="K117" s="86"/>
      <x:c r="L117" s="53"/>
      <x:c r="M117" s="86"/>
      <x:c r="N117" s="86"/>
      <x:c r="O117" s="53"/>
      <x:c r="P117" s="53"/>
      <x:c r="Q117" s="53"/>
      <x:c r="R117" s="53"/>
      <x:c r="S117" s="53"/>
      <x:c r="T117" s="53"/>
    </x:row>
    <x:row r="118">
      <x:c r="A118" s="41" t="str">
        <x:f>'Trial Plan'!A118</x:f>
        <x:v>T115</x:v>
      </x:c>
      <x:c r="B118" s="41" t="str">
        <x:f>'Trial Plan'!B118</x:f>
        <x:v>P07</x:v>
      </x:c>
      <x:c r="C118" s="41" t="str">
        <x:f>'Trial Plan'!H118</x:f>
        <x:v>Trace Active Path</x:v>
      </x:c>
      <x:c r="D118" s="41" t="str">
        <x:f>'Trial Plan'!I118</x:f>
        <x:v>Baseline</x:v>
      </x:c>
      <x:c r="E118" s="41" t="str">
        <x:f>'Trial Plan'!K118</x:f>
        <x:v>obstacle</x:v>
      </x:c>
      <x:c r="F118" s="41" t="n">
        <x:f>'Trial Plan'!L118</x:f>
        <x:v>83</x:v>
      </x:c>
      <x:c r="G118" s="41" t="str">
        <x:f>'Trial Plan'!M118</x:f>
        <x:v>Jump Obstacle 1</x:v>
      </x:c>
      <x:c r="H118" s="85"/>
      <x:c r="I118" s="86"/>
      <x:c r="J118" s="86"/>
      <x:c r="K118" s="86"/>
      <x:c r="L118" s="53"/>
      <x:c r="M118" s="86"/>
      <x:c r="N118" s="86"/>
      <x:c r="O118" s="53"/>
      <x:c r="P118" s="53"/>
      <x:c r="Q118" s="53"/>
      <x:c r="R118" s="53"/>
      <x:c r="S118" s="53"/>
      <x:c r="T118" s="53"/>
    </x:row>
    <x:row r="119">
      <x:c r="A119" s="41" t="str">
        <x:f>'Trial Plan'!A119</x:f>
        <x:v>T116</x:v>
      </x:c>
      <x:c r="B119" s="41" t="str">
        <x:f>'Trial Plan'!B119</x:f>
        <x:v>P07</x:v>
      </x:c>
      <x:c r="C119" s="41" t="str">
        <x:f>'Trial Plan'!H119</x:f>
        <x:v>Trace Active Path</x:v>
      </x:c>
      <x:c r="D119" s="41" t="str">
        <x:f>'Trial Plan'!I119</x:f>
        <x:v>Compact</x:v>
      </x:c>
      <x:c r="E119" s="41" t="str">
        <x:f>'Trial Plan'!K119</x:f>
        <x:v>vertical</x:v>
      </x:c>
      <x:c r="F119" s="41" t="n">
        <x:f>'Trial Plan'!L119</x:f>
        <x:v>91</x:v>
      </x:c>
      <x:c r="G119" s="41" t="str">
        <x:f>'Trial Plan'!M119</x:f>
        <x:v>Climb Ladder 1</x:v>
      </x:c>
      <x:c r="H119" s="85"/>
      <x:c r="I119" s="86"/>
      <x:c r="J119" s="86"/>
      <x:c r="K119" s="86"/>
      <x:c r="L119" s="53"/>
      <x:c r="M119" s="86"/>
      <x:c r="N119" s="86"/>
      <x:c r="O119" s="53"/>
      <x:c r="P119" s="53"/>
      <x:c r="Q119" s="53"/>
      <x:c r="R119" s="53"/>
      <x:c r="S119" s="53"/>
      <x:c r="T119" s="53"/>
    </x:row>
    <x:row r="120">
      <x:c r="A120" s="41" t="str">
        <x:f>'Trial Plan'!A120</x:f>
        <x:v>T117</x:v>
      </x:c>
      <x:c r="B120" s="41" t="str">
        <x:f>'Trial Plan'!B120</x:f>
        <x:v>P07</x:v>
      </x:c>
      <x:c r="C120" s="41" t="str">
        <x:f>'Trial Plan'!H120</x:f>
        <x:v>Trace Active Path</x:v>
      </x:c>
      <x:c r="D120" s="41" t="str">
        <x:f>'Trial Plan'!I120</x:f>
        <x:v>Minimap</x:v>
      </x:c>
      <x:c r="E120" s="41" t="str">
        <x:f>'Trial Plan'!K120</x:f>
        <x:v>patrol</x:v>
      </x:c>
      <x:c r="F120" s="41" t="n">
        <x:f>'Trial Plan'!L120</x:f>
        <x:v>201</x:v>
      </x:c>
      <x:c r="G120" s="41" t="str">
        <x:f>'Trial Plan'!M120</x:f>
        <x:v>Observe Patrol Point 1</x:v>
      </x:c>
      <x:c r="H120" s="85"/>
      <x:c r="I120" s="86"/>
      <x:c r="J120" s="86"/>
      <x:c r="K120" s="86"/>
      <x:c r="L120" s="53"/>
      <x:c r="M120" s="86"/>
      <x:c r="N120" s="86"/>
      <x:c r="O120" s="53"/>
      <x:c r="P120" s="53"/>
      <x:c r="Q120" s="53"/>
      <x:c r="R120" s="53"/>
      <x:c r="S120" s="53"/>
      <x:c r="T120" s="53"/>
    </x:row>
    <x:row r="121">
      <x:c r="A121" s="41" t="str">
        <x:f>'Trial Plan'!A121</x:f>
        <x:v>T118</x:v>
      </x:c>
      <x:c r="B121" s="41" t="str">
        <x:f>'Trial Plan'!B121</x:f>
        <x:v>P07</x:v>
      </x:c>
      <x:c r="C121" s="41" t="str">
        <x:f>'Trial Plan'!H121</x:f>
        <x:v>Trace Active Path</x:v>
      </x:c>
      <x:c r="D121" s="41" t="str">
        <x:f>'Trial Plan'!I121</x:f>
        <x:v>Collapse</x:v>
      </x:c>
      <x:c r="E121" s="41" t="str">
        <x:f>'Trial Plan'!K121</x:f>
        <x:v>ranged</x:v>
      </x:c>
      <x:c r="F121" s="41" t="n">
        <x:f>'Trial Plan'!L121</x:f>
        <x:v>101</x:v>
      </x:c>
      <x:c r="G121" s="41" t="str">
        <x:f>'Trial Plan'!M121</x:f>
        <x:v>Fire Projectile 1</x:v>
      </x:c>
      <x:c r="H121" s="85"/>
      <x:c r="I121" s="86"/>
      <x:c r="J121" s="86"/>
      <x:c r="K121" s="86"/>
      <x:c r="L121" s="53"/>
      <x:c r="M121" s="86"/>
      <x:c r="N121" s="86"/>
      <x:c r="O121" s="53"/>
      <x:c r="P121" s="53"/>
      <x:c r="Q121" s="53"/>
      <x:c r="R121" s="53"/>
      <x:c r="S121" s="53"/>
      <x:c r="T121" s="53"/>
    </x:row>
    <x:row r="122">
      <x:c r="A122" s="41" t="str">
        <x:f>'Trial Plan'!A122</x:f>
        <x:v>T119</x:v>
      </x:c>
      <x:c r="B122" s="41" t="str">
        <x:f>'Trial Plan'!B122</x:f>
        <x:v>P07</x:v>
      </x:c>
      <x:c r="C122" s="41" t="str">
        <x:f>'Trial Plan'!H122</x:f>
        <x:v>Trace Active Path</x:v>
      </x:c>
      <x:c r="D122" s="41" t="str">
        <x:f>'Trial Plan'!I122</x:f>
        <x:v>Search</x:v>
      </x:c>
      <x:c r="E122" s="41" t="str">
        <x:f>'Trial Plan'!K122</x:f>
        <x:v>search</x:v>
      </x:c>
      <x:c r="F122" s="41" t="n">
        <x:f>'Trial Plan'!L122</x:f>
        <x:v>156</x:v>
      </x:c>
      <x:c r="G122" s="41" t="str">
        <x:f>'Trial Plan'!M122</x:f>
        <x:v>Search Movement 1</x:v>
      </x:c>
      <x:c r="H122" s="85"/>
      <x:c r="I122" s="86"/>
      <x:c r="J122" s="86"/>
      <x:c r="K122" s="86"/>
      <x:c r="L122" s="53"/>
      <x:c r="M122" s="86"/>
      <x:c r="N122" s="86"/>
      <x:c r="O122" s="53"/>
      <x:c r="P122" s="53"/>
      <x:c r="Q122" s="53"/>
      <x:c r="R122" s="53"/>
      <x:c r="S122" s="53"/>
      <x:c r="T122" s="53"/>
    </x:row>
    <x:row r="123">
      <x:c r="A123" s="41" t="str">
        <x:f>'Trial Plan'!A123</x:f>
        <x:v>T120</x:v>
      </x:c>
      <x:c r="B123" s="41" t="str">
        <x:f>'Trial Plan'!B123</x:f>
        <x:v>P07</x:v>
      </x:c>
      <x:c r="C123" s="41" t="str">
        <x:f>'Trial Plan'!H123</x:f>
        <x:v>Trace Active Path</x:v>
      </x:c>
      <x:c r="D123" s="41" t="str">
        <x:f>'Trial Plan'!I123</x:f>
        <x:v>Fisheye</x:v>
      </x:c>
      <x:c r="E123" s="41" t="str">
        <x:f>'Trial Plan'!K123</x:f>
        <x:v>pressure</x:v>
      </x:c>
      <x:c r="F123" s="41" t="n">
        <x:f>'Trial Plan'!L123</x:f>
        <x:v>113</x:v>
      </x:c>
      <x:c r="G123" s="41" t="str">
        <x:f>'Trial Plan'!M123</x:f>
        <x:v>Pressure Advance 1</x:v>
      </x:c>
      <x:c r="H123" s="85"/>
      <x:c r="I123" s="86"/>
      <x:c r="J123" s="86"/>
      <x:c r="K123" s="86"/>
      <x:c r="L123" s="53"/>
      <x:c r="M123" s="86"/>
      <x:c r="N123" s="86"/>
      <x:c r="O123" s="53"/>
      <x:c r="P123" s="53"/>
      <x:c r="Q123" s="53"/>
      <x:c r="R123" s="53"/>
      <x:c r="S123" s="53"/>
      <x:c r="T123" s="53"/>
    </x:row>
    <x:row r="124">
      <x:c r="A124" s="41" t="str">
        <x:f>'Trial Plan'!A124</x:f>
        <x:v>T121</x:v>
      </x:c>
      <x:c r="B124" s="41" t="str">
        <x:f>'Trial Plan'!B124</x:f>
        <x:v>P07</x:v>
      </x:c>
      <x:c r="C124" s="41" t="str">
        <x:f>'Trial Plan'!H124</x:f>
        <x:v>Edit Decorator</x:v>
      </x:c>
      <x:c r="D124" s="41" t="str">
        <x:f>'Trial Plan'!I124</x:f>
        <x:v>Baseline</x:v>
      </x:c>
      <x:c r="E124" s="41" t="str">
        <x:f>'Trial Plan'!K124</x:f>
        <x:v>defense</x:v>
      </x:c>
      <x:c r="F124" s="41" t="n">
        <x:f>'Trial Plan'!L124</x:f>
        <x:v>31</x:v>
      </x:c>
      <x:c r="G124" s="41" t="str">
        <x:f>'Trial Plan'!M124</x:f>
        <x:v>Defense Cooldown 1</x:v>
      </x:c>
      <x:c r="H124" s="85"/>
      <x:c r="I124" s="86"/>
      <x:c r="J124" s="86"/>
      <x:c r="K124" s="86"/>
      <x:c r="L124" s="53"/>
      <x:c r="M124" s="86"/>
      <x:c r="N124" s="86"/>
      <x:c r="O124" s="53"/>
      <x:c r="P124" s="53"/>
      <x:c r="Q124" s="53"/>
      <x:c r="R124" s="53"/>
      <x:c r="S124" s="53"/>
      <x:c r="T124" s="53"/>
    </x:row>
    <x:row r="125">
      <x:c r="A125" s="41" t="str">
        <x:f>'Trial Plan'!A125</x:f>
        <x:v>T122</x:v>
      </x:c>
      <x:c r="B125" s="41" t="str">
        <x:f>'Trial Plan'!B125</x:f>
        <x:v>P07</x:v>
      </x:c>
      <x:c r="C125" s="41" t="str">
        <x:f>'Trial Plan'!H125</x:f>
        <x:v>Edit Decorator</x:v>
      </x:c>
      <x:c r="D125" s="41" t="str">
        <x:f>'Trial Plan'!I125</x:f>
        <x:v>Compact</x:v>
      </x:c>
      <x:c r="E125" s="41" t="str">
        <x:f>'Trial Plan'!K125</x:f>
        <x:v>pressure</x:v>
      </x:c>
      <x:c r="F125" s="41" t="n">
        <x:f>'Trial Plan'!L125</x:f>
        <x:v>114</x:v>
      </x:c>
      <x:c r="G125" s="41" t="str">
        <x:f>'Trial Plan'!M125</x:f>
        <x:v>Pressure Cooldown 1</x:v>
      </x:c>
      <x:c r="H125" s="85"/>
      <x:c r="I125" s="86"/>
      <x:c r="J125" s="86"/>
      <x:c r="K125" s="86"/>
      <x:c r="L125" s="53"/>
      <x:c r="M125" s="86"/>
      <x:c r="N125" s="86"/>
      <x:c r="O125" s="53"/>
      <x:c r="P125" s="53"/>
      <x:c r="Q125" s="53"/>
      <x:c r="R125" s="53"/>
      <x:c r="S125" s="53"/>
      <x:c r="T125" s="53"/>
    </x:row>
    <x:row r="126">
      <x:c r="A126" s="41" t="str">
        <x:f>'Trial Plan'!A126</x:f>
        <x:v>T123</x:v>
      </x:c>
      <x:c r="B126" s="41" t="str">
        <x:f>'Trial Plan'!B126</x:f>
        <x:v>P07</x:v>
      </x:c>
      <x:c r="C126" s="41" t="str">
        <x:f>'Trial Plan'!H126</x:f>
        <x:v>Edit Decorator</x:v>
      </x:c>
      <x:c r="D126" s="41" t="str">
        <x:f>'Trial Plan'!I126</x:f>
        <x:v>Minimap</x:v>
      </x:c>
      <x:c r="E126" s="41" t="str">
        <x:f>'Trial Plan'!K126</x:f>
        <x:v>patrol</x:v>
      </x:c>
      <x:c r="F126" s="41" t="n">
        <x:f>'Trial Plan'!L126</x:f>
        <x:v>202</x:v>
      </x:c>
      <x:c r="G126" s="41" t="str">
        <x:f>'Trial Plan'!M126</x:f>
        <x:v>Patrol Leg Limit 1</x:v>
      </x:c>
      <x:c r="H126" s="85"/>
      <x:c r="I126" s="86"/>
      <x:c r="J126" s="86"/>
      <x:c r="K126" s="86"/>
      <x:c r="L126" s="53"/>
      <x:c r="M126" s="86"/>
      <x:c r="N126" s="86"/>
      <x:c r="O126" s="53"/>
      <x:c r="P126" s="53"/>
      <x:c r="Q126" s="53"/>
      <x:c r="R126" s="53"/>
      <x:c r="S126" s="53"/>
      <x:c r="T126" s="53"/>
    </x:row>
    <x:row r="127">
      <x:c r="A127" s="41" t="str">
        <x:f>'Trial Plan'!A127</x:f>
        <x:v>T124</x:v>
      </x:c>
      <x:c r="B127" s="41" t="str">
        <x:f>'Trial Plan'!B127</x:f>
        <x:v>P07</x:v>
      </x:c>
      <x:c r="C127" s="41" t="str">
        <x:f>'Trial Plan'!H127</x:f>
        <x:v>Edit Decorator</x:v>
      </x:c>
      <x:c r="D127" s="41" t="str">
        <x:f>'Trial Plan'!I127</x:f>
        <x:v>Collapse</x:v>
      </x:c>
      <x:c r="E127" s="41" t="str">
        <x:f>'Trial Plan'!K127</x:f>
        <x:v>chase</x:v>
      </x:c>
      <x:c r="F127" s="41" t="n">
        <x:f>'Trial Plan'!L127</x:f>
        <x:v>133</x:v>
      </x:c>
      <x:c r="G127" s="41" t="str">
        <x:f>'Trial Plan'!M127</x:f>
        <x:v>Chase Step Limit 1</x:v>
      </x:c>
      <x:c r="H127" s="85"/>
      <x:c r="I127" s="86"/>
      <x:c r="J127" s="86"/>
      <x:c r="K127" s="86"/>
      <x:c r="L127" s="53"/>
      <x:c r="M127" s="86"/>
      <x:c r="N127" s="86"/>
      <x:c r="O127" s="53"/>
      <x:c r="P127" s="53"/>
      <x:c r="Q127" s="53"/>
      <x:c r="R127" s="53"/>
      <x:c r="S127" s="53"/>
      <x:c r="T127" s="53"/>
    </x:row>
    <x:row r="128">
      <x:c r="A128" s="41" t="str">
        <x:f>'Trial Plan'!A128</x:f>
        <x:v>T125</x:v>
      </x:c>
      <x:c r="B128" s="41" t="str">
        <x:f>'Trial Plan'!B128</x:f>
        <x:v>P07</x:v>
      </x:c>
      <x:c r="C128" s="41" t="str">
        <x:f>'Trial Plan'!H128</x:f>
        <x:v>Edit Decorator</x:v>
      </x:c>
      <x:c r="D128" s="41" t="str">
        <x:f>'Trial Plan'!I128</x:f>
        <x:v>Search</x:v>
      </x:c>
      <x:c r="E128" s="41" t="str">
        <x:f>'Trial Plan'!K128</x:f>
        <x:v>return</x:v>
      </x:c>
      <x:c r="F128" s="41" t="n">
        <x:f>'Trial Plan'!L128</x:f>
        <x:v>182</x:v>
      </x:c>
      <x:c r="G128" s="41" t="str">
        <x:f>'Trial Plan'!M128</x:f>
        <x:v>Return Step Limit 1</x:v>
      </x:c>
      <x:c r="H128" s="85"/>
      <x:c r="I128" s="86"/>
      <x:c r="J128" s="86"/>
      <x:c r="K128" s="86"/>
      <x:c r="L128" s="53"/>
      <x:c r="M128" s="86"/>
      <x:c r="N128" s="86"/>
      <x:c r="O128" s="53"/>
      <x:c r="P128" s="53"/>
      <x:c r="Q128" s="53"/>
      <x:c r="R128" s="53"/>
      <x:c r="S128" s="53"/>
      <x:c r="T128" s="53"/>
    </x:row>
    <x:row r="129">
      <x:c r="A129" s="41" t="str">
        <x:f>'Trial Plan'!A129</x:f>
        <x:v>T126</x:v>
      </x:c>
      <x:c r="B129" s="41" t="str">
        <x:f>'Trial Plan'!B129</x:f>
        <x:v>P07</x:v>
      </x:c>
      <x:c r="C129" s="41" t="str">
        <x:f>'Trial Plan'!H129</x:f>
        <x:v>Edit Decorator</x:v>
      </x:c>
      <x:c r="D129" s="41" t="str">
        <x:f>'Trial Plan'!I129</x:f>
        <x:v>Fisheye</x:v>
      </x:c>
      <x:c r="E129" s="41" t="str">
        <x:f>'Trial Plan'!K129</x:f>
        <x:v>search</x:v>
      </x:c>
      <x:c r="F129" s="41" t="n">
        <x:f>'Trial Plan'!L129</x:f>
        <x:v>159</x:v>
      </x:c>
      <x:c r="G129" s="41" t="str">
        <x:f>'Trial Plan'!M129</x:f>
        <x:v>Search Leg Limit 1</x:v>
      </x:c>
      <x:c r="H129" s="85"/>
      <x:c r="I129" s="86"/>
      <x:c r="J129" s="86"/>
      <x:c r="K129" s="86"/>
      <x:c r="L129" s="53"/>
      <x:c r="M129" s="86"/>
      <x:c r="N129" s="86"/>
      <x:c r="O129" s="53"/>
      <x:c r="P129" s="53"/>
      <x:c r="Q129" s="53"/>
      <x:c r="R129" s="53"/>
      <x:c r="S129" s="53"/>
      <x:c r="T129" s="53"/>
    </x:row>
    <x:row r="130">
      <x:c r="A130" s="41" t="str">
        <x:f>'Trial Plan'!A130</x:f>
        <x:v>T127</x:v>
      </x:c>
      <x:c r="B130" s="41" t="str">
        <x:f>'Trial Plan'!B130</x:f>
        <x:v>P08</x:v>
      </x:c>
      <x:c r="C130" s="41" t="str">
        <x:f>'Trial Plan'!H130</x:f>
        <x:v>Trace Active Path</x:v>
      </x:c>
      <x:c r="D130" s="41" t="str">
        <x:f>'Trial Plan'!I130</x:f>
        <x:v>Compact</x:v>
      </x:c>
      <x:c r="E130" s="41" t="str">
        <x:f>'Trial Plan'!K130</x:f>
        <x:v>ranged</x:v>
      </x:c>
      <x:c r="F130" s="41" t="n">
        <x:f>'Trial Plan'!L130</x:f>
        <x:v>101</x:v>
      </x:c>
      <x:c r="G130" s="41" t="str">
        <x:f>'Trial Plan'!M130</x:f>
        <x:v>Fire Projectile 1</x:v>
      </x:c>
      <x:c r="H130" s="85"/>
      <x:c r="I130" s="86"/>
      <x:c r="J130" s="86"/>
      <x:c r="K130" s="86"/>
      <x:c r="L130" s="53"/>
      <x:c r="M130" s="86"/>
      <x:c r="N130" s="86"/>
      <x:c r="O130" s="53"/>
      <x:c r="P130" s="53"/>
      <x:c r="Q130" s="53"/>
      <x:c r="R130" s="53"/>
      <x:c r="S130" s="53"/>
      <x:c r="T130" s="53"/>
    </x:row>
    <x:row r="131">
      <x:c r="A131" s="41" t="str">
        <x:f>'Trial Plan'!A131</x:f>
        <x:v>T128</x:v>
      </x:c>
      <x:c r="B131" s="41" t="str">
        <x:f>'Trial Plan'!B131</x:f>
        <x:v>P08</x:v>
      </x:c>
      <x:c r="C131" s="41" t="str">
        <x:f>'Trial Plan'!H131</x:f>
        <x:v>Trace Active Path</x:v>
      </x:c>
      <x:c r="D131" s="41" t="str">
        <x:f>'Trial Plan'!I131</x:f>
        <x:v>Collapse</x:v>
      </x:c>
      <x:c r="E131" s="41" t="str">
        <x:f>'Trial Plan'!K131</x:f>
        <x:v>pressure</x:v>
      </x:c>
      <x:c r="F131" s="41" t="n">
        <x:f>'Trial Plan'!L131</x:f>
        <x:v>113</x:v>
      </x:c>
      <x:c r="G131" s="41" t="str">
        <x:f>'Trial Plan'!M131</x:f>
        <x:v>Pressure Advance 1</x:v>
      </x:c>
      <x:c r="H131" s="85"/>
      <x:c r="I131" s="86"/>
      <x:c r="J131" s="86"/>
      <x:c r="K131" s="86"/>
      <x:c r="L131" s="53"/>
      <x:c r="M131" s="86"/>
      <x:c r="N131" s="86"/>
      <x:c r="O131" s="53"/>
      <x:c r="P131" s="53"/>
      <x:c r="Q131" s="53"/>
      <x:c r="R131" s="53"/>
      <x:c r="S131" s="53"/>
      <x:c r="T131" s="53"/>
    </x:row>
    <x:row r="132">
      <x:c r="A132" s="41" t="str">
        <x:f>'Trial Plan'!A132</x:f>
        <x:v>T129</x:v>
      </x:c>
      <x:c r="B132" s="41" t="str">
        <x:f>'Trial Plan'!B132</x:f>
        <x:v>P08</x:v>
      </x:c>
      <x:c r="C132" s="41" t="str">
        <x:f>'Trial Plan'!H132</x:f>
        <x:v>Trace Active Path</x:v>
      </x:c>
      <x:c r="D132" s="41" t="str">
        <x:f>'Trial Plan'!I132</x:f>
        <x:v>Baseline</x:v>
      </x:c>
      <x:c r="E132" s="41" t="str">
        <x:f>'Trial Plan'!K132</x:f>
        <x:v>vertical</x:v>
      </x:c>
      <x:c r="F132" s="41" t="n">
        <x:f>'Trial Plan'!L132</x:f>
        <x:v>91</x:v>
      </x:c>
      <x:c r="G132" s="41" t="str">
        <x:f>'Trial Plan'!M132</x:f>
        <x:v>Climb Ladder 1</x:v>
      </x:c>
      <x:c r="H132" s="85"/>
      <x:c r="I132" s="86"/>
      <x:c r="J132" s="86"/>
      <x:c r="K132" s="86"/>
      <x:c r="L132" s="53"/>
      <x:c r="M132" s="86"/>
      <x:c r="N132" s="86"/>
      <x:c r="O132" s="53"/>
      <x:c r="P132" s="53"/>
      <x:c r="Q132" s="53"/>
      <x:c r="R132" s="53"/>
      <x:c r="S132" s="53"/>
      <x:c r="T132" s="53"/>
    </x:row>
    <x:row r="133">
      <x:c r="A133" s="41" t="str">
        <x:f>'Trial Plan'!A133</x:f>
        <x:v>T130</x:v>
      </x:c>
      <x:c r="B133" s="41" t="str">
        <x:f>'Trial Plan'!B133</x:f>
        <x:v>P08</x:v>
      </x:c>
      <x:c r="C133" s="41" t="str">
        <x:f>'Trial Plan'!H133</x:f>
        <x:v>Trace Active Path</x:v>
      </x:c>
      <x:c r="D133" s="41" t="str">
        <x:f>'Trial Plan'!I133</x:f>
        <x:v>Fisheye</x:v>
      </x:c>
      <x:c r="E133" s="41" t="str">
        <x:f>'Trial Plan'!K133</x:f>
        <x:v>search</x:v>
      </x:c>
      <x:c r="F133" s="41" t="n">
        <x:f>'Trial Plan'!L133</x:f>
        <x:v>156</x:v>
      </x:c>
      <x:c r="G133" s="41" t="str">
        <x:f>'Trial Plan'!M133</x:f>
        <x:v>Search Movement 1</x:v>
      </x:c>
      <x:c r="H133" s="85"/>
      <x:c r="I133" s="86"/>
      <x:c r="J133" s="86"/>
      <x:c r="K133" s="86"/>
      <x:c r="L133" s="53"/>
      <x:c r="M133" s="86"/>
      <x:c r="N133" s="86"/>
      <x:c r="O133" s="53"/>
      <x:c r="P133" s="53"/>
      <x:c r="Q133" s="53"/>
      <x:c r="R133" s="53"/>
      <x:c r="S133" s="53"/>
      <x:c r="T133" s="53"/>
    </x:row>
    <x:row r="134">
      <x:c r="A134" s="41" t="str">
        <x:f>'Trial Plan'!A134</x:f>
        <x:v>T131</x:v>
      </x:c>
      <x:c r="B134" s="41" t="str">
        <x:f>'Trial Plan'!B134</x:f>
        <x:v>P08</x:v>
      </x:c>
      <x:c r="C134" s="41" t="str">
        <x:f>'Trial Plan'!H134</x:f>
        <x:v>Trace Active Path</x:v>
      </x:c>
      <x:c r="D134" s="41" t="str">
        <x:f>'Trial Plan'!I134</x:f>
        <x:v>Minimap</x:v>
      </x:c>
      <x:c r="E134" s="41" t="str">
        <x:f>'Trial Plan'!K134</x:f>
        <x:v>obstacle</x:v>
      </x:c>
      <x:c r="F134" s="41" t="n">
        <x:f>'Trial Plan'!L134</x:f>
        <x:v>83</x:v>
      </x:c>
      <x:c r="G134" s="41" t="str">
        <x:f>'Trial Plan'!M134</x:f>
        <x:v>Jump Obstacle 1</x:v>
      </x:c>
      <x:c r="H134" s="85"/>
      <x:c r="I134" s="86"/>
      <x:c r="J134" s="86"/>
      <x:c r="K134" s="86"/>
      <x:c r="L134" s="53"/>
      <x:c r="M134" s="86"/>
      <x:c r="N134" s="86"/>
      <x:c r="O134" s="53"/>
      <x:c r="P134" s="53"/>
      <x:c r="Q134" s="53"/>
      <x:c r="R134" s="53"/>
      <x:c r="S134" s="53"/>
      <x:c r="T134" s="53"/>
    </x:row>
    <x:row r="135">
      <x:c r="A135" s="41" t="str">
        <x:f>'Trial Plan'!A135</x:f>
        <x:v>T132</x:v>
      </x:c>
      <x:c r="B135" s="41" t="str">
        <x:f>'Trial Plan'!B135</x:f>
        <x:v>P08</x:v>
      </x:c>
      <x:c r="C135" s="41" t="str">
        <x:f>'Trial Plan'!H135</x:f>
        <x:v>Trace Active Path</x:v>
      </x:c>
      <x:c r="D135" s="41" t="str">
        <x:f>'Trial Plan'!I135</x:f>
        <x:v>Search</x:v>
      </x:c>
      <x:c r="E135" s="41" t="str">
        <x:f>'Trial Plan'!K135</x:f>
        <x:v>patrol</x:v>
      </x:c>
      <x:c r="F135" s="41" t="n">
        <x:f>'Trial Plan'!L135</x:f>
        <x:v>201</x:v>
      </x:c>
      <x:c r="G135" s="41" t="str">
        <x:f>'Trial Plan'!M135</x:f>
        <x:v>Observe Patrol Point 1</x:v>
      </x:c>
      <x:c r="H135" s="85"/>
      <x:c r="I135" s="86"/>
      <x:c r="J135" s="86"/>
      <x:c r="K135" s="86"/>
      <x:c r="L135" s="53"/>
      <x:c r="M135" s="86"/>
      <x:c r="N135" s="86"/>
      <x:c r="O135" s="53"/>
      <x:c r="P135" s="53"/>
      <x:c r="Q135" s="53"/>
      <x:c r="R135" s="53"/>
      <x:c r="S135" s="53"/>
      <x:c r="T135" s="53"/>
    </x:row>
    <x:row r="136">
      <x:c r="A136" s="41" t="str">
        <x:f>'Trial Plan'!A136</x:f>
        <x:v>T133</x:v>
      </x:c>
      <x:c r="B136" s="41" t="str">
        <x:f>'Trial Plan'!B136</x:f>
        <x:v>P08</x:v>
      </x:c>
      <x:c r="C136" s="41" t="str">
        <x:f>'Trial Plan'!H136</x:f>
        <x:v>Edit Decorator</x:v>
      </x:c>
      <x:c r="D136" s="41" t="str">
        <x:f>'Trial Plan'!I136</x:f>
        <x:v>Compact</x:v>
      </x:c>
      <x:c r="E136" s="41" t="str">
        <x:f>'Trial Plan'!K136</x:f>
        <x:v>chase</x:v>
      </x:c>
      <x:c r="F136" s="41" t="n">
        <x:f>'Trial Plan'!L136</x:f>
        <x:v>133</x:v>
      </x:c>
      <x:c r="G136" s="41" t="str">
        <x:f>'Trial Plan'!M136</x:f>
        <x:v>Chase Step Limit 1</x:v>
      </x:c>
      <x:c r="H136" s="85"/>
      <x:c r="I136" s="86"/>
      <x:c r="J136" s="86"/>
      <x:c r="K136" s="86"/>
      <x:c r="L136" s="53"/>
      <x:c r="M136" s="86"/>
      <x:c r="N136" s="86"/>
      <x:c r="O136" s="53"/>
      <x:c r="P136" s="53"/>
      <x:c r="Q136" s="53"/>
      <x:c r="R136" s="53"/>
      <x:c r="S136" s="53"/>
      <x:c r="T136" s="53"/>
    </x:row>
    <x:row r="137">
      <x:c r="A137" s="41" t="str">
        <x:f>'Trial Plan'!A137</x:f>
        <x:v>T134</x:v>
      </x:c>
      <x:c r="B137" s="41" t="str">
        <x:f>'Trial Plan'!B137</x:f>
        <x:v>P08</x:v>
      </x:c>
      <x:c r="C137" s="41" t="str">
        <x:f>'Trial Plan'!H137</x:f>
        <x:v>Edit Decorator</x:v>
      </x:c>
      <x:c r="D137" s="41" t="str">
        <x:f>'Trial Plan'!I137</x:f>
        <x:v>Collapse</x:v>
      </x:c>
      <x:c r="E137" s="41" t="str">
        <x:f>'Trial Plan'!K137</x:f>
        <x:v>search</x:v>
      </x:c>
      <x:c r="F137" s="41" t="n">
        <x:f>'Trial Plan'!L137</x:f>
        <x:v>159</x:v>
      </x:c>
      <x:c r="G137" s="41" t="str">
        <x:f>'Trial Plan'!M137</x:f>
        <x:v>Search Leg Limit 1</x:v>
      </x:c>
      <x:c r="H137" s="85"/>
      <x:c r="I137" s="86"/>
      <x:c r="J137" s="86"/>
      <x:c r="K137" s="86"/>
      <x:c r="L137" s="53"/>
      <x:c r="M137" s="86"/>
      <x:c r="N137" s="86"/>
      <x:c r="O137" s="53"/>
      <x:c r="P137" s="53"/>
      <x:c r="Q137" s="53"/>
      <x:c r="R137" s="53"/>
      <x:c r="S137" s="53"/>
      <x:c r="T137" s="53"/>
    </x:row>
    <x:row r="138">
      <x:c r="A138" s="41" t="str">
        <x:f>'Trial Plan'!A138</x:f>
        <x:v>T135</x:v>
      </x:c>
      <x:c r="B138" s="41" t="str">
        <x:f>'Trial Plan'!B138</x:f>
        <x:v>P08</x:v>
      </x:c>
      <x:c r="C138" s="41" t="str">
        <x:f>'Trial Plan'!H138</x:f>
        <x:v>Edit Decorator</x:v>
      </x:c>
      <x:c r="D138" s="41" t="str">
        <x:f>'Trial Plan'!I138</x:f>
        <x:v>Baseline</x:v>
      </x:c>
      <x:c r="E138" s="41" t="str">
        <x:f>'Trial Plan'!K138</x:f>
        <x:v>pressure</x:v>
      </x:c>
      <x:c r="F138" s="41" t="n">
        <x:f>'Trial Plan'!L138</x:f>
        <x:v>114</x:v>
      </x:c>
      <x:c r="G138" s="41" t="str">
        <x:f>'Trial Plan'!M138</x:f>
        <x:v>Pressure Cooldown 1</x:v>
      </x:c>
      <x:c r="H138" s="85"/>
      <x:c r="I138" s="86"/>
      <x:c r="J138" s="86"/>
      <x:c r="K138" s="86"/>
      <x:c r="L138" s="53"/>
      <x:c r="M138" s="86"/>
      <x:c r="N138" s="86"/>
      <x:c r="O138" s="53"/>
      <x:c r="P138" s="53"/>
      <x:c r="Q138" s="53"/>
      <x:c r="R138" s="53"/>
      <x:c r="S138" s="53"/>
      <x:c r="T138" s="53"/>
    </x:row>
    <x:row r="139">
      <x:c r="A139" s="41" t="str">
        <x:f>'Trial Plan'!A139</x:f>
        <x:v>T136</x:v>
      </x:c>
      <x:c r="B139" s="41" t="str">
        <x:f>'Trial Plan'!B139</x:f>
        <x:v>P08</x:v>
      </x:c>
      <x:c r="C139" s="41" t="str">
        <x:f>'Trial Plan'!H139</x:f>
        <x:v>Edit Decorator</x:v>
      </x:c>
      <x:c r="D139" s="41" t="str">
        <x:f>'Trial Plan'!I139</x:f>
        <x:v>Fisheye</x:v>
      </x:c>
      <x:c r="E139" s="41" t="str">
        <x:f>'Trial Plan'!K139</x:f>
        <x:v>return</x:v>
      </x:c>
      <x:c r="F139" s="41" t="n">
        <x:f>'Trial Plan'!L139</x:f>
        <x:v>182</x:v>
      </x:c>
      <x:c r="G139" s="41" t="str">
        <x:f>'Trial Plan'!M139</x:f>
        <x:v>Return Step Limit 1</x:v>
      </x:c>
      <x:c r="H139" s="85"/>
      <x:c r="I139" s="86"/>
      <x:c r="J139" s="86"/>
      <x:c r="K139" s="86"/>
      <x:c r="L139" s="53"/>
      <x:c r="M139" s="86"/>
      <x:c r="N139" s="86"/>
      <x:c r="O139" s="53"/>
      <x:c r="P139" s="53"/>
      <x:c r="Q139" s="53"/>
      <x:c r="R139" s="53"/>
      <x:c r="S139" s="53"/>
      <x:c r="T139" s="53"/>
    </x:row>
    <x:row r="140">
      <x:c r="A140" s="41" t="str">
        <x:f>'Trial Plan'!A140</x:f>
        <x:v>T137</x:v>
      </x:c>
      <x:c r="B140" s="41" t="str">
        <x:f>'Trial Plan'!B140</x:f>
        <x:v>P08</x:v>
      </x:c>
      <x:c r="C140" s="41" t="str">
        <x:f>'Trial Plan'!H140</x:f>
        <x:v>Edit Decorator</x:v>
      </x:c>
      <x:c r="D140" s="41" t="str">
        <x:f>'Trial Plan'!I140</x:f>
        <x:v>Minimap</x:v>
      </x:c>
      <x:c r="E140" s="41" t="str">
        <x:f>'Trial Plan'!K140</x:f>
        <x:v>defense</x:v>
      </x:c>
      <x:c r="F140" s="41" t="n">
        <x:f>'Trial Plan'!L140</x:f>
        <x:v>31</x:v>
      </x:c>
      <x:c r="G140" s="41" t="str">
        <x:f>'Trial Plan'!M140</x:f>
        <x:v>Defense Cooldown 1</x:v>
      </x:c>
      <x:c r="H140" s="85"/>
      <x:c r="I140" s="86"/>
      <x:c r="J140" s="86"/>
      <x:c r="K140" s="86"/>
      <x:c r="L140" s="53"/>
      <x:c r="M140" s="86"/>
      <x:c r="N140" s="86"/>
      <x:c r="O140" s="53"/>
      <x:c r="P140" s="53"/>
      <x:c r="Q140" s="53"/>
      <x:c r="R140" s="53"/>
      <x:c r="S140" s="53"/>
      <x:c r="T140" s="53"/>
    </x:row>
    <x:row r="141">
      <x:c r="A141" s="41" t="str">
        <x:f>'Trial Plan'!A141</x:f>
        <x:v>T138</x:v>
      </x:c>
      <x:c r="B141" s="41" t="str">
        <x:f>'Trial Plan'!B141</x:f>
        <x:v>P08</x:v>
      </x:c>
      <x:c r="C141" s="41" t="str">
        <x:f>'Trial Plan'!H141</x:f>
        <x:v>Edit Decorator</x:v>
      </x:c>
      <x:c r="D141" s="41" t="str">
        <x:f>'Trial Plan'!I141</x:f>
        <x:v>Search</x:v>
      </x:c>
      <x:c r="E141" s="41" t="str">
        <x:f>'Trial Plan'!K141</x:f>
        <x:v>patrol</x:v>
      </x:c>
      <x:c r="F141" s="41" t="n">
        <x:f>'Trial Plan'!L141</x:f>
        <x:v>202</x:v>
      </x:c>
      <x:c r="G141" s="41" t="str">
        <x:f>'Trial Plan'!M141</x:f>
        <x:v>Patrol Leg Limit 1</x:v>
      </x:c>
      <x:c r="H141" s="85"/>
      <x:c r="I141" s="86"/>
      <x:c r="J141" s="86"/>
      <x:c r="K141" s="86"/>
      <x:c r="L141" s="53"/>
      <x:c r="M141" s="86"/>
      <x:c r="N141" s="86"/>
      <x:c r="O141" s="53"/>
      <x:c r="P141" s="53"/>
      <x:c r="Q141" s="53"/>
      <x:c r="R141" s="53"/>
      <x:c r="S141" s="53"/>
      <x:c r="T141" s="53"/>
    </x:row>
    <x:row r="142">
      <x:c r="A142" s="41" t="str">
        <x:f>'Trial Plan'!A142</x:f>
        <x:v>T139</x:v>
      </x:c>
      <x:c r="B142" s="41" t="str">
        <x:f>'Trial Plan'!B142</x:f>
        <x:v>P08</x:v>
      </x:c>
      <x:c r="C142" s="41" t="str">
        <x:f>'Trial Plan'!H142</x:f>
        <x:v>Locate Action</x:v>
      </x:c>
      <x:c r="D142" s="41" t="str">
        <x:f>'Trial Plan'!I142</x:f>
        <x:v>Compact</x:v>
      </x:c>
      <x:c r="E142" s="41" t="str">
        <x:f>'Trial Plan'!K142</x:f>
        <x:v>ranged</x:v>
      </x:c>
      <x:c r="F142" s="41" t="n">
        <x:f>'Trial Plan'!L142</x:f>
        <x:v>101</x:v>
      </x:c>
      <x:c r="G142" s="41" t="str">
        <x:f>'Trial Plan'!M142</x:f>
        <x:v>Fire Projectile 1</x:v>
      </x:c>
      <x:c r="H142" s="85"/>
      <x:c r="I142" s="86"/>
      <x:c r="J142" s="86"/>
      <x:c r="K142" s="86"/>
      <x:c r="L142" s="53"/>
      <x:c r="M142" s="86"/>
      <x:c r="N142" s="86"/>
      <x:c r="O142" s="53"/>
      <x:c r="P142" s="53"/>
      <x:c r="Q142" s="53"/>
      <x:c r="R142" s="53"/>
      <x:c r="S142" s="53"/>
      <x:c r="T142" s="53"/>
    </x:row>
    <x:row r="143">
      <x:c r="A143" s="41" t="str">
        <x:f>'Trial Plan'!A143</x:f>
        <x:v>T140</x:v>
      </x:c>
      <x:c r="B143" s="41" t="str">
        <x:f>'Trial Plan'!B143</x:f>
        <x:v>P08</x:v>
      </x:c>
      <x:c r="C143" s="41" t="str">
        <x:f>'Trial Plan'!H143</x:f>
        <x:v>Locate Action</x:v>
      </x:c>
      <x:c r="D143" s="41" t="str">
        <x:f>'Trial Plan'!I143</x:f>
        <x:v>Collapse</x:v>
      </x:c>
      <x:c r="E143" s="41" t="str">
        <x:f>'Trial Plan'!K143</x:f>
        <x:v>pressure</x:v>
      </x:c>
      <x:c r="F143" s="41" t="n">
        <x:f>'Trial Plan'!L143</x:f>
        <x:v>113</x:v>
      </x:c>
      <x:c r="G143" s="41" t="str">
        <x:f>'Trial Plan'!M143</x:f>
        <x:v>Pressure Advance 1</x:v>
      </x:c>
      <x:c r="H143" s="85"/>
      <x:c r="I143" s="86"/>
      <x:c r="J143" s="86"/>
      <x:c r="K143" s="86"/>
      <x:c r="L143" s="53"/>
      <x:c r="M143" s="86"/>
      <x:c r="N143" s="86"/>
      <x:c r="O143" s="53"/>
      <x:c r="P143" s="53"/>
      <x:c r="Q143" s="53"/>
      <x:c r="R143" s="53"/>
      <x:c r="S143" s="53"/>
      <x:c r="T143" s="53"/>
    </x:row>
    <x:row r="144">
      <x:c r="A144" s="41" t="str">
        <x:f>'Trial Plan'!A144</x:f>
        <x:v>T141</x:v>
      </x:c>
      <x:c r="B144" s="41" t="str">
        <x:f>'Trial Plan'!B144</x:f>
        <x:v>P08</x:v>
      </x:c>
      <x:c r="C144" s="41" t="str">
        <x:f>'Trial Plan'!H144</x:f>
        <x:v>Locate Action</x:v>
      </x:c>
      <x:c r="D144" s="41" t="str">
        <x:f>'Trial Plan'!I144</x:f>
        <x:v>Baseline</x:v>
      </x:c>
      <x:c r="E144" s="41" t="str">
        <x:f>'Trial Plan'!K144</x:f>
        <x:v>vertical</x:v>
      </x:c>
      <x:c r="F144" s="41" t="n">
        <x:f>'Trial Plan'!L144</x:f>
        <x:v>91</x:v>
      </x:c>
      <x:c r="G144" s="41" t="str">
        <x:f>'Trial Plan'!M144</x:f>
        <x:v>Climb Ladder 1</x:v>
      </x:c>
      <x:c r="H144" s="85"/>
      <x:c r="I144" s="86"/>
      <x:c r="J144" s="86"/>
      <x:c r="K144" s="86"/>
      <x:c r="L144" s="53"/>
      <x:c r="M144" s="86"/>
      <x:c r="N144" s="86"/>
      <x:c r="O144" s="53"/>
      <x:c r="P144" s="53"/>
      <x:c r="Q144" s="53"/>
      <x:c r="R144" s="53"/>
      <x:c r="S144" s="53"/>
      <x:c r="T144" s="53"/>
    </x:row>
    <x:row r="145">
      <x:c r="A145" s="41" t="str">
        <x:f>'Trial Plan'!A145</x:f>
        <x:v>T142</x:v>
      </x:c>
      <x:c r="B145" s="41" t="str">
        <x:f>'Trial Plan'!B145</x:f>
        <x:v>P08</x:v>
      </x:c>
      <x:c r="C145" s="41" t="str">
        <x:f>'Trial Plan'!H145</x:f>
        <x:v>Locate Action</x:v>
      </x:c>
      <x:c r="D145" s="41" t="str">
        <x:f>'Trial Plan'!I145</x:f>
        <x:v>Fisheye</x:v>
      </x:c>
      <x:c r="E145" s="41" t="str">
        <x:f>'Trial Plan'!K145</x:f>
        <x:v>search</x:v>
      </x:c>
      <x:c r="F145" s="41" t="n">
        <x:f>'Trial Plan'!L145</x:f>
        <x:v>156</x:v>
      </x:c>
      <x:c r="G145" s="41" t="str">
        <x:f>'Trial Plan'!M145</x:f>
        <x:v>Search Movement 1</x:v>
      </x:c>
      <x:c r="H145" s="85"/>
      <x:c r="I145" s="86"/>
      <x:c r="J145" s="86"/>
      <x:c r="K145" s="86"/>
      <x:c r="L145" s="53"/>
      <x:c r="M145" s="86"/>
      <x:c r="N145" s="86"/>
      <x:c r="O145" s="53"/>
      <x:c r="P145" s="53"/>
      <x:c r="Q145" s="53"/>
      <x:c r="R145" s="53"/>
      <x:c r="S145" s="53"/>
      <x:c r="T145" s="53"/>
    </x:row>
    <x:row r="146">
      <x:c r="A146" s="41" t="str">
        <x:f>'Trial Plan'!A146</x:f>
        <x:v>T143</x:v>
      </x:c>
      <x:c r="B146" s="41" t="str">
        <x:f>'Trial Plan'!B146</x:f>
        <x:v>P08</x:v>
      </x:c>
      <x:c r="C146" s="41" t="str">
        <x:f>'Trial Plan'!H146</x:f>
        <x:v>Locate Action</x:v>
      </x:c>
      <x:c r="D146" s="41" t="str">
        <x:f>'Trial Plan'!I146</x:f>
        <x:v>Minimap</x:v>
      </x:c>
      <x:c r="E146" s="41" t="str">
        <x:f>'Trial Plan'!K146</x:f>
        <x:v>obstacle</x:v>
      </x:c>
      <x:c r="F146" s="41" t="n">
        <x:f>'Trial Plan'!L146</x:f>
        <x:v>83</x:v>
      </x:c>
      <x:c r="G146" s="41" t="str">
        <x:f>'Trial Plan'!M146</x:f>
        <x:v>Jump Obstacle 1</x:v>
      </x:c>
      <x:c r="H146" s="85"/>
      <x:c r="I146" s="86"/>
      <x:c r="J146" s="86"/>
      <x:c r="K146" s="86"/>
      <x:c r="L146" s="53"/>
      <x:c r="M146" s="86"/>
      <x:c r="N146" s="86"/>
      <x:c r="O146" s="53"/>
      <x:c r="P146" s="53"/>
      <x:c r="Q146" s="53"/>
      <x:c r="R146" s="53"/>
      <x:c r="S146" s="53"/>
      <x:c r="T146" s="53"/>
    </x:row>
    <x:row r="147">
      <x:c r="A147" s="41" t="str">
        <x:f>'Trial Plan'!A147</x:f>
        <x:v>T144</x:v>
      </x:c>
      <x:c r="B147" s="41" t="str">
        <x:f>'Trial Plan'!B147</x:f>
        <x:v>P08</x:v>
      </x:c>
      <x:c r="C147" s="41" t="str">
        <x:f>'Trial Plan'!H147</x:f>
        <x:v>Locate Action</x:v>
      </x:c>
      <x:c r="D147" s="41" t="str">
        <x:f>'Trial Plan'!I147</x:f>
        <x:v>Search</x:v>
      </x:c>
      <x:c r="E147" s="41" t="str">
        <x:f>'Trial Plan'!K147</x:f>
        <x:v>patrol</x:v>
      </x:c>
      <x:c r="F147" s="41" t="n">
        <x:f>'Trial Plan'!L147</x:f>
        <x:v>201</x:v>
      </x:c>
      <x:c r="G147" s="41" t="str">
        <x:f>'Trial Plan'!M147</x:f>
        <x:v>Observe Patrol Point 1</x:v>
      </x:c>
      <x:c r="H147" s="85"/>
      <x:c r="I147" s="86"/>
      <x:c r="J147" s="86"/>
      <x:c r="K147" s="86"/>
      <x:c r="L147" s="53"/>
      <x:c r="M147" s="86"/>
      <x:c r="N147" s="86"/>
      <x:c r="O147" s="53"/>
      <x:c r="P147" s="53"/>
      <x:c r="Q147" s="53"/>
      <x:c r="R147" s="53"/>
      <x:c r="S147" s="53"/>
      <x:c r="T147" s="53"/>
    </x:row>
    <x:row r="148">
      <x:c r="A148" s="41" t="str">
        <x:f>'Trial Plan'!A148</x:f>
        <x:v>T145</x:v>
      </x:c>
      <x:c r="B148" s="41" t="str">
        <x:f>'Trial Plan'!B148</x:f>
        <x:v>P09</x:v>
      </x:c>
      <x:c r="C148" s="41" t="str">
        <x:f>'Trial Plan'!H148</x:f>
        <x:v>Edit Decorator</x:v>
      </x:c>
      <x:c r="D148" s="41" t="str">
        <x:f>'Trial Plan'!I148</x:f>
        <x:v>Collapse</x:v>
      </x:c>
      <x:c r="E148" s="41" t="str">
        <x:f>'Trial Plan'!K148</x:f>
        <x:v>return</x:v>
      </x:c>
      <x:c r="F148" s="41" t="n">
        <x:f>'Trial Plan'!L148</x:f>
        <x:v>182</x:v>
      </x:c>
      <x:c r="G148" s="41" t="str">
        <x:f>'Trial Plan'!M148</x:f>
        <x:v>Return Step Limit 1</x:v>
      </x:c>
      <x:c r="H148" s="85"/>
      <x:c r="I148" s="86"/>
      <x:c r="J148" s="86"/>
      <x:c r="K148" s="86"/>
      <x:c r="L148" s="53"/>
      <x:c r="M148" s="86"/>
      <x:c r="N148" s="86"/>
      <x:c r="O148" s="53"/>
      <x:c r="P148" s="53"/>
      <x:c r="Q148" s="53"/>
      <x:c r="R148" s="53"/>
      <x:c r="S148" s="53"/>
      <x:c r="T148" s="53"/>
    </x:row>
    <x:row r="149">
      <x:c r="A149" s="41" t="str">
        <x:f>'Trial Plan'!A149</x:f>
        <x:v>T146</x:v>
      </x:c>
      <x:c r="B149" s="41" t="str">
        <x:f>'Trial Plan'!B149</x:f>
        <x:v>P09</x:v>
      </x:c>
      <x:c r="C149" s="41" t="str">
        <x:f>'Trial Plan'!H149</x:f>
        <x:v>Edit Decorator</x:v>
      </x:c>
      <x:c r="D149" s="41" t="str">
        <x:f>'Trial Plan'!I149</x:f>
        <x:v>Fisheye</x:v>
      </x:c>
      <x:c r="E149" s="41" t="str">
        <x:f>'Trial Plan'!K149</x:f>
        <x:v>patrol</x:v>
      </x:c>
      <x:c r="F149" s="41" t="n">
        <x:f>'Trial Plan'!L149</x:f>
        <x:v>202</x:v>
      </x:c>
      <x:c r="G149" s="41" t="str">
        <x:f>'Trial Plan'!M149</x:f>
        <x:v>Patrol Leg Limit 1</x:v>
      </x:c>
      <x:c r="H149" s="85"/>
      <x:c r="I149" s="86"/>
      <x:c r="J149" s="86"/>
      <x:c r="K149" s="86"/>
      <x:c r="L149" s="53"/>
      <x:c r="M149" s="86"/>
      <x:c r="N149" s="86"/>
      <x:c r="O149" s="53"/>
      <x:c r="P149" s="53"/>
      <x:c r="Q149" s="53"/>
      <x:c r="R149" s="53"/>
      <x:c r="S149" s="53"/>
      <x:c r="T149" s="53"/>
    </x:row>
    <x:row r="150">
      <x:c r="A150" s="41" t="str">
        <x:f>'Trial Plan'!A150</x:f>
        <x:v>T147</x:v>
      </x:c>
      <x:c r="B150" s="41" t="str">
        <x:f>'Trial Plan'!B150</x:f>
        <x:v>P09</x:v>
      </x:c>
      <x:c r="C150" s="41" t="str">
        <x:f>'Trial Plan'!H150</x:f>
        <x:v>Edit Decorator</x:v>
      </x:c>
      <x:c r="D150" s="41" t="str">
        <x:f>'Trial Plan'!I150</x:f>
        <x:v>Compact</x:v>
      </x:c>
      <x:c r="E150" s="41" t="str">
        <x:f>'Trial Plan'!K150</x:f>
        <x:v>search</x:v>
      </x:c>
      <x:c r="F150" s="41" t="n">
        <x:f>'Trial Plan'!L150</x:f>
        <x:v>159</x:v>
      </x:c>
      <x:c r="G150" s="41" t="str">
        <x:f>'Trial Plan'!M150</x:f>
        <x:v>Search Leg Limit 1</x:v>
      </x:c>
      <x:c r="H150" s="85"/>
      <x:c r="I150" s="86"/>
      <x:c r="J150" s="86"/>
      <x:c r="K150" s="86"/>
      <x:c r="L150" s="53"/>
      <x:c r="M150" s="86"/>
      <x:c r="N150" s="86"/>
      <x:c r="O150" s="53"/>
      <x:c r="P150" s="53"/>
      <x:c r="Q150" s="53"/>
      <x:c r="R150" s="53"/>
      <x:c r="S150" s="53"/>
      <x:c r="T150" s="53"/>
    </x:row>
    <x:row r="151">
      <x:c r="A151" s="41" t="str">
        <x:f>'Trial Plan'!A151</x:f>
        <x:v>T148</x:v>
      </x:c>
      <x:c r="B151" s="41" t="str">
        <x:f>'Trial Plan'!B151</x:f>
        <x:v>P09</x:v>
      </x:c>
      <x:c r="C151" s="41" t="str">
        <x:f>'Trial Plan'!H151</x:f>
        <x:v>Edit Decorator</x:v>
      </x:c>
      <x:c r="D151" s="41" t="str">
        <x:f>'Trial Plan'!I151</x:f>
        <x:v>Search</x:v>
      </x:c>
      <x:c r="E151" s="41" t="str">
        <x:f>'Trial Plan'!K151</x:f>
        <x:v>defense</x:v>
      </x:c>
      <x:c r="F151" s="41" t="n">
        <x:f>'Trial Plan'!L151</x:f>
        <x:v>31</x:v>
      </x:c>
      <x:c r="G151" s="41" t="str">
        <x:f>'Trial Plan'!M151</x:f>
        <x:v>Defense Cooldown 1</x:v>
      </x:c>
      <x:c r="H151" s="85"/>
      <x:c r="I151" s="86"/>
      <x:c r="J151" s="86"/>
      <x:c r="K151" s="86"/>
      <x:c r="L151" s="53"/>
      <x:c r="M151" s="86"/>
      <x:c r="N151" s="86"/>
      <x:c r="O151" s="53"/>
      <x:c r="P151" s="53"/>
      <x:c r="Q151" s="53"/>
      <x:c r="R151" s="53"/>
      <x:c r="S151" s="53"/>
      <x:c r="T151" s="53"/>
    </x:row>
    <x:row r="152">
      <x:c r="A152" s="41" t="str">
        <x:f>'Trial Plan'!A152</x:f>
        <x:v>T149</x:v>
      </x:c>
      <x:c r="B152" s="41" t="str">
        <x:f>'Trial Plan'!B152</x:f>
        <x:v>P09</x:v>
      </x:c>
      <x:c r="C152" s="41" t="str">
        <x:f>'Trial Plan'!H152</x:f>
        <x:v>Edit Decorator</x:v>
      </x:c>
      <x:c r="D152" s="41" t="str">
        <x:f>'Trial Plan'!I152</x:f>
        <x:v>Baseline</x:v>
      </x:c>
      <x:c r="E152" s="41" t="str">
        <x:f>'Trial Plan'!K152</x:f>
        <x:v>chase</x:v>
      </x:c>
      <x:c r="F152" s="41" t="n">
        <x:f>'Trial Plan'!L152</x:f>
        <x:v>133</x:v>
      </x:c>
      <x:c r="G152" s="41" t="str">
        <x:f>'Trial Plan'!M152</x:f>
        <x:v>Chase Step Limit 1</x:v>
      </x:c>
      <x:c r="H152" s="85"/>
      <x:c r="I152" s="86"/>
      <x:c r="J152" s="86"/>
      <x:c r="K152" s="86"/>
      <x:c r="L152" s="53"/>
      <x:c r="M152" s="86"/>
      <x:c r="N152" s="86"/>
      <x:c r="O152" s="53"/>
      <x:c r="P152" s="53"/>
      <x:c r="Q152" s="53"/>
      <x:c r="R152" s="53"/>
      <x:c r="S152" s="53"/>
      <x:c r="T152" s="53"/>
    </x:row>
    <x:row r="153">
      <x:c r="A153" s="41" t="str">
        <x:f>'Trial Plan'!A153</x:f>
        <x:v>T150</x:v>
      </x:c>
      <x:c r="B153" s="41" t="str">
        <x:f>'Trial Plan'!B153</x:f>
        <x:v>P09</x:v>
      </x:c>
      <x:c r="C153" s="41" t="str">
        <x:f>'Trial Plan'!H153</x:f>
        <x:v>Edit Decorator</x:v>
      </x:c>
      <x:c r="D153" s="41" t="str">
        <x:f>'Trial Plan'!I153</x:f>
        <x:v>Minimap</x:v>
      </x:c>
      <x:c r="E153" s="41" t="str">
        <x:f>'Trial Plan'!K153</x:f>
        <x:v>pressure</x:v>
      </x:c>
      <x:c r="F153" s="41" t="n">
        <x:f>'Trial Plan'!L153</x:f>
        <x:v>114</x:v>
      </x:c>
      <x:c r="G153" s="41" t="str">
        <x:f>'Trial Plan'!M153</x:f>
        <x:v>Pressure Cooldown 1</x:v>
      </x:c>
      <x:c r="H153" s="85"/>
      <x:c r="I153" s="86"/>
      <x:c r="J153" s="86"/>
      <x:c r="K153" s="86"/>
      <x:c r="L153" s="53"/>
      <x:c r="M153" s="86"/>
      <x:c r="N153" s="86"/>
      <x:c r="O153" s="53"/>
      <x:c r="P153" s="53"/>
      <x:c r="Q153" s="53"/>
      <x:c r="R153" s="53"/>
      <x:c r="S153" s="53"/>
      <x:c r="T153" s="53"/>
    </x:row>
    <x:row r="154">
      <x:c r="A154" s="41" t="str">
        <x:f>'Trial Plan'!A154</x:f>
        <x:v>T151</x:v>
      </x:c>
      <x:c r="B154" s="41" t="str">
        <x:f>'Trial Plan'!B154</x:f>
        <x:v>P09</x:v>
      </x:c>
      <x:c r="C154" s="41" t="str">
        <x:f>'Trial Plan'!H154</x:f>
        <x:v>Locate Action</x:v>
      </x:c>
      <x:c r="D154" s="41" t="str">
        <x:f>'Trial Plan'!I154</x:f>
        <x:v>Collapse</x:v>
      </x:c>
      <x:c r="E154" s="41" t="str">
        <x:f>'Trial Plan'!K154</x:f>
        <x:v>search</x:v>
      </x:c>
      <x:c r="F154" s="41" t="n">
        <x:f>'Trial Plan'!L154</x:f>
        <x:v>156</x:v>
      </x:c>
      <x:c r="G154" s="41" t="str">
        <x:f>'Trial Plan'!M154</x:f>
        <x:v>Search Movement 1</x:v>
      </x:c>
      <x:c r="H154" s="85"/>
      <x:c r="I154" s="86"/>
      <x:c r="J154" s="86"/>
      <x:c r="K154" s="86"/>
      <x:c r="L154" s="53"/>
      <x:c r="M154" s="86"/>
      <x:c r="N154" s="86"/>
      <x:c r="O154" s="53"/>
      <x:c r="P154" s="53"/>
      <x:c r="Q154" s="53"/>
      <x:c r="R154" s="53"/>
      <x:c r="S154" s="53"/>
      <x:c r="T154" s="53"/>
    </x:row>
    <x:row r="155">
      <x:c r="A155" s="41" t="str">
        <x:f>'Trial Plan'!A155</x:f>
        <x:v>T152</x:v>
      </x:c>
      <x:c r="B155" s="41" t="str">
        <x:f>'Trial Plan'!B155</x:f>
        <x:v>P09</x:v>
      </x:c>
      <x:c r="C155" s="41" t="str">
        <x:f>'Trial Plan'!H155</x:f>
        <x:v>Locate Action</x:v>
      </x:c>
      <x:c r="D155" s="41" t="str">
        <x:f>'Trial Plan'!I155</x:f>
        <x:v>Fisheye</x:v>
      </x:c>
      <x:c r="E155" s="41" t="str">
        <x:f>'Trial Plan'!K155</x:f>
        <x:v>patrol</x:v>
      </x:c>
      <x:c r="F155" s="41" t="n">
        <x:f>'Trial Plan'!L155</x:f>
        <x:v>201</x:v>
      </x:c>
      <x:c r="G155" s="41" t="str">
        <x:f>'Trial Plan'!M155</x:f>
        <x:v>Observe Patrol Point 1</x:v>
      </x:c>
      <x:c r="H155" s="85"/>
      <x:c r="I155" s="86"/>
      <x:c r="J155" s="86"/>
      <x:c r="K155" s="86"/>
      <x:c r="L155" s="53"/>
      <x:c r="M155" s="86"/>
      <x:c r="N155" s="86"/>
      <x:c r="O155" s="53"/>
      <x:c r="P155" s="53"/>
      <x:c r="Q155" s="53"/>
      <x:c r="R155" s="53"/>
      <x:c r="S155" s="53"/>
      <x:c r="T155" s="53"/>
    </x:row>
    <x:row r="156">
      <x:c r="A156" s="41" t="str">
        <x:f>'Trial Plan'!A156</x:f>
        <x:v>T153</x:v>
      </x:c>
      <x:c r="B156" s="41" t="str">
        <x:f>'Trial Plan'!B156</x:f>
        <x:v>P09</x:v>
      </x:c>
      <x:c r="C156" s="41" t="str">
        <x:f>'Trial Plan'!H156</x:f>
        <x:v>Locate Action</x:v>
      </x:c>
      <x:c r="D156" s="41" t="str">
        <x:f>'Trial Plan'!I156</x:f>
        <x:v>Compact</x:v>
      </x:c>
      <x:c r="E156" s="41" t="str">
        <x:f>'Trial Plan'!K156</x:f>
        <x:v>pressure</x:v>
      </x:c>
      <x:c r="F156" s="41" t="n">
        <x:f>'Trial Plan'!L156</x:f>
        <x:v>113</x:v>
      </x:c>
      <x:c r="G156" s="41" t="str">
        <x:f>'Trial Plan'!M156</x:f>
        <x:v>Pressure Advance 1</x:v>
      </x:c>
      <x:c r="H156" s="85"/>
      <x:c r="I156" s="86"/>
      <x:c r="J156" s="86"/>
      <x:c r="K156" s="86"/>
      <x:c r="L156" s="53"/>
      <x:c r="M156" s="86"/>
      <x:c r="N156" s="86"/>
      <x:c r="O156" s="53"/>
      <x:c r="P156" s="53"/>
      <x:c r="Q156" s="53"/>
      <x:c r="R156" s="53"/>
      <x:c r="S156" s="53"/>
      <x:c r="T156" s="53"/>
    </x:row>
    <x:row r="157">
      <x:c r="A157" s="41" t="str">
        <x:f>'Trial Plan'!A157</x:f>
        <x:v>T154</x:v>
      </x:c>
      <x:c r="B157" s="41" t="str">
        <x:f>'Trial Plan'!B157</x:f>
        <x:v>P09</x:v>
      </x:c>
      <x:c r="C157" s="41" t="str">
        <x:f>'Trial Plan'!H157</x:f>
        <x:v>Locate Action</x:v>
      </x:c>
      <x:c r="D157" s="41" t="str">
        <x:f>'Trial Plan'!I157</x:f>
        <x:v>Search</x:v>
      </x:c>
      <x:c r="E157" s="41" t="str">
        <x:f>'Trial Plan'!K157</x:f>
        <x:v>obstacle</x:v>
      </x:c>
      <x:c r="F157" s="41" t="n">
        <x:f>'Trial Plan'!L157</x:f>
        <x:v>83</x:v>
      </x:c>
      <x:c r="G157" s="41" t="str">
        <x:f>'Trial Plan'!M157</x:f>
        <x:v>Jump Obstacle 1</x:v>
      </x:c>
      <x:c r="H157" s="85"/>
      <x:c r="I157" s="86"/>
      <x:c r="J157" s="86"/>
      <x:c r="K157" s="86"/>
      <x:c r="L157" s="53"/>
      <x:c r="M157" s="86"/>
      <x:c r="N157" s="86"/>
      <x:c r="O157" s="53"/>
      <x:c r="P157" s="53"/>
      <x:c r="Q157" s="53"/>
      <x:c r="R157" s="53"/>
      <x:c r="S157" s="53"/>
      <x:c r="T157" s="53"/>
    </x:row>
    <x:row r="158">
      <x:c r="A158" s="41" t="str">
        <x:f>'Trial Plan'!A158</x:f>
        <x:v>T155</x:v>
      </x:c>
      <x:c r="B158" s="41" t="str">
        <x:f>'Trial Plan'!B158</x:f>
        <x:v>P09</x:v>
      </x:c>
      <x:c r="C158" s="41" t="str">
        <x:f>'Trial Plan'!H158</x:f>
        <x:v>Locate Action</x:v>
      </x:c>
      <x:c r="D158" s="41" t="str">
        <x:f>'Trial Plan'!I158</x:f>
        <x:v>Baseline</x:v>
      </x:c>
      <x:c r="E158" s="41" t="str">
        <x:f>'Trial Plan'!K158</x:f>
        <x:v>ranged</x:v>
      </x:c>
      <x:c r="F158" s="41" t="n">
        <x:f>'Trial Plan'!L158</x:f>
        <x:v>101</x:v>
      </x:c>
      <x:c r="G158" s="41" t="str">
        <x:f>'Trial Plan'!M158</x:f>
        <x:v>Fire Projectile 1</x:v>
      </x:c>
      <x:c r="H158" s="85"/>
      <x:c r="I158" s="86"/>
      <x:c r="J158" s="86"/>
      <x:c r="K158" s="86"/>
      <x:c r="L158" s="53"/>
      <x:c r="M158" s="86"/>
      <x:c r="N158" s="86"/>
      <x:c r="O158" s="53"/>
      <x:c r="P158" s="53"/>
      <x:c r="Q158" s="53"/>
      <x:c r="R158" s="53"/>
      <x:c r="S158" s="53"/>
      <x:c r="T158" s="53"/>
    </x:row>
    <x:row r="159">
      <x:c r="A159" s="41" t="str">
        <x:f>'Trial Plan'!A159</x:f>
        <x:v>T156</x:v>
      </x:c>
      <x:c r="B159" s="41" t="str">
        <x:f>'Trial Plan'!B159</x:f>
        <x:v>P09</x:v>
      </x:c>
      <x:c r="C159" s="41" t="str">
        <x:f>'Trial Plan'!H159</x:f>
        <x:v>Locate Action</x:v>
      </x:c>
      <x:c r="D159" s="41" t="str">
        <x:f>'Trial Plan'!I159</x:f>
        <x:v>Minimap</x:v>
      </x:c>
      <x:c r="E159" s="41" t="str">
        <x:f>'Trial Plan'!K159</x:f>
        <x:v>vertical</x:v>
      </x:c>
      <x:c r="F159" s="41" t="n">
        <x:f>'Trial Plan'!L159</x:f>
        <x:v>91</x:v>
      </x:c>
      <x:c r="G159" s="41" t="str">
        <x:f>'Trial Plan'!M159</x:f>
        <x:v>Climb Ladder 1</x:v>
      </x:c>
      <x:c r="H159" s="85"/>
      <x:c r="I159" s="86"/>
      <x:c r="J159" s="86"/>
      <x:c r="K159" s="86"/>
      <x:c r="L159" s="53"/>
      <x:c r="M159" s="86"/>
      <x:c r="N159" s="86"/>
      <x:c r="O159" s="53"/>
      <x:c r="P159" s="53"/>
      <x:c r="Q159" s="53"/>
      <x:c r="R159" s="53"/>
      <x:c r="S159" s="53"/>
      <x:c r="T159" s="53"/>
    </x:row>
    <x:row r="160">
      <x:c r="A160" s="41" t="str">
        <x:f>'Trial Plan'!A160</x:f>
        <x:v>T157</x:v>
      </x:c>
      <x:c r="B160" s="41" t="str">
        <x:f>'Trial Plan'!B160</x:f>
        <x:v>P09</x:v>
      </x:c>
      <x:c r="C160" s="41" t="str">
        <x:f>'Trial Plan'!H160</x:f>
        <x:v>Trace Active Path</x:v>
      </x:c>
      <x:c r="D160" s="41" t="str">
        <x:f>'Trial Plan'!I160</x:f>
        <x:v>Collapse</x:v>
      </x:c>
      <x:c r="E160" s="41" t="str">
        <x:f>'Trial Plan'!K160</x:f>
        <x:v>search</x:v>
      </x:c>
      <x:c r="F160" s="41" t="n">
        <x:f>'Trial Plan'!L160</x:f>
        <x:v>156</x:v>
      </x:c>
      <x:c r="G160" s="41" t="str">
        <x:f>'Trial Plan'!M160</x:f>
        <x:v>Search Movement 1</x:v>
      </x:c>
      <x:c r="H160" s="85"/>
      <x:c r="I160" s="86"/>
      <x:c r="J160" s="86"/>
      <x:c r="K160" s="86"/>
      <x:c r="L160" s="53"/>
      <x:c r="M160" s="86"/>
      <x:c r="N160" s="86"/>
      <x:c r="O160" s="53"/>
      <x:c r="P160" s="53"/>
      <x:c r="Q160" s="53"/>
      <x:c r="R160" s="53"/>
      <x:c r="S160" s="53"/>
      <x:c r="T160" s="53"/>
    </x:row>
    <x:row r="161">
      <x:c r="A161" s="41" t="str">
        <x:f>'Trial Plan'!A161</x:f>
        <x:v>T158</x:v>
      </x:c>
      <x:c r="B161" s="41" t="str">
        <x:f>'Trial Plan'!B161</x:f>
        <x:v>P09</x:v>
      </x:c>
      <x:c r="C161" s="41" t="str">
        <x:f>'Trial Plan'!H161</x:f>
        <x:v>Trace Active Path</x:v>
      </x:c>
      <x:c r="D161" s="41" t="str">
        <x:f>'Trial Plan'!I161</x:f>
        <x:v>Fisheye</x:v>
      </x:c>
      <x:c r="E161" s="41" t="str">
        <x:f>'Trial Plan'!K161</x:f>
        <x:v>patrol</x:v>
      </x:c>
      <x:c r="F161" s="41" t="n">
        <x:f>'Trial Plan'!L161</x:f>
        <x:v>201</x:v>
      </x:c>
      <x:c r="G161" s="41" t="str">
        <x:f>'Trial Plan'!M161</x:f>
        <x:v>Observe Patrol Point 1</x:v>
      </x:c>
      <x:c r="H161" s="85"/>
      <x:c r="I161" s="86"/>
      <x:c r="J161" s="86"/>
      <x:c r="K161" s="86"/>
      <x:c r="L161" s="53"/>
      <x:c r="M161" s="86"/>
      <x:c r="N161" s="86"/>
      <x:c r="O161" s="53"/>
      <x:c r="P161" s="53"/>
      <x:c r="Q161" s="53"/>
      <x:c r="R161" s="53"/>
      <x:c r="S161" s="53"/>
      <x:c r="T161" s="53"/>
    </x:row>
    <x:row r="162">
      <x:c r="A162" s="41" t="str">
        <x:f>'Trial Plan'!A162</x:f>
        <x:v>T159</x:v>
      </x:c>
      <x:c r="B162" s="41" t="str">
        <x:f>'Trial Plan'!B162</x:f>
        <x:v>P09</x:v>
      </x:c>
      <x:c r="C162" s="41" t="str">
        <x:f>'Trial Plan'!H162</x:f>
        <x:v>Trace Active Path</x:v>
      </x:c>
      <x:c r="D162" s="41" t="str">
        <x:f>'Trial Plan'!I162</x:f>
        <x:v>Compact</x:v>
      </x:c>
      <x:c r="E162" s="41" t="str">
        <x:f>'Trial Plan'!K162</x:f>
        <x:v>pressure</x:v>
      </x:c>
      <x:c r="F162" s="41" t="n">
        <x:f>'Trial Plan'!L162</x:f>
        <x:v>113</x:v>
      </x:c>
      <x:c r="G162" s="41" t="str">
        <x:f>'Trial Plan'!M162</x:f>
        <x:v>Pressure Advance 1</x:v>
      </x:c>
      <x:c r="H162" s="85"/>
      <x:c r="I162" s="86"/>
      <x:c r="J162" s="86"/>
      <x:c r="K162" s="86"/>
      <x:c r="L162" s="53"/>
      <x:c r="M162" s="86"/>
      <x:c r="N162" s="86"/>
      <x:c r="O162" s="53"/>
      <x:c r="P162" s="53"/>
      <x:c r="Q162" s="53"/>
      <x:c r="R162" s="53"/>
      <x:c r="S162" s="53"/>
      <x:c r="T162" s="53"/>
    </x:row>
    <x:row r="163">
      <x:c r="A163" s="41" t="str">
        <x:f>'Trial Plan'!A163</x:f>
        <x:v>T160</x:v>
      </x:c>
      <x:c r="B163" s="41" t="str">
        <x:f>'Trial Plan'!B163</x:f>
        <x:v>P09</x:v>
      </x:c>
      <x:c r="C163" s="41" t="str">
        <x:f>'Trial Plan'!H163</x:f>
        <x:v>Trace Active Path</x:v>
      </x:c>
      <x:c r="D163" s="41" t="str">
        <x:f>'Trial Plan'!I163</x:f>
        <x:v>Search</x:v>
      </x:c>
      <x:c r="E163" s="41" t="str">
        <x:f>'Trial Plan'!K163</x:f>
        <x:v>obstacle</x:v>
      </x:c>
      <x:c r="F163" s="41" t="n">
        <x:f>'Trial Plan'!L163</x:f>
        <x:v>83</x:v>
      </x:c>
      <x:c r="G163" s="41" t="str">
        <x:f>'Trial Plan'!M163</x:f>
        <x:v>Jump Obstacle 1</x:v>
      </x:c>
      <x:c r="H163" s="85"/>
      <x:c r="I163" s="86"/>
      <x:c r="J163" s="86"/>
      <x:c r="K163" s="86"/>
      <x:c r="L163" s="53"/>
      <x:c r="M163" s="86"/>
      <x:c r="N163" s="86"/>
      <x:c r="O163" s="53"/>
      <x:c r="P163" s="53"/>
      <x:c r="Q163" s="53"/>
      <x:c r="R163" s="53"/>
      <x:c r="S163" s="53"/>
      <x:c r="T163" s="53"/>
    </x:row>
    <x:row r="164">
      <x:c r="A164" s="41" t="str">
        <x:f>'Trial Plan'!A164</x:f>
        <x:v>T161</x:v>
      </x:c>
      <x:c r="B164" s="41" t="str">
        <x:f>'Trial Plan'!B164</x:f>
        <x:v>P09</x:v>
      </x:c>
      <x:c r="C164" s="41" t="str">
        <x:f>'Trial Plan'!H164</x:f>
        <x:v>Trace Active Path</x:v>
      </x:c>
      <x:c r="D164" s="41" t="str">
        <x:f>'Trial Plan'!I164</x:f>
        <x:v>Baseline</x:v>
      </x:c>
      <x:c r="E164" s="41" t="str">
        <x:f>'Trial Plan'!K164</x:f>
        <x:v>ranged</x:v>
      </x:c>
      <x:c r="F164" s="41" t="n">
        <x:f>'Trial Plan'!L164</x:f>
        <x:v>101</x:v>
      </x:c>
      <x:c r="G164" s="41" t="str">
        <x:f>'Trial Plan'!M164</x:f>
        <x:v>Fire Projectile 1</x:v>
      </x:c>
      <x:c r="H164" s="85"/>
      <x:c r="I164" s="86"/>
      <x:c r="J164" s="86"/>
      <x:c r="K164" s="86"/>
      <x:c r="L164" s="53"/>
      <x:c r="M164" s="86"/>
      <x:c r="N164" s="86"/>
      <x:c r="O164" s="53"/>
      <x:c r="P164" s="53"/>
      <x:c r="Q164" s="53"/>
      <x:c r="R164" s="53"/>
      <x:c r="S164" s="53"/>
      <x:c r="T164" s="53"/>
    </x:row>
    <x:row r="165">
      <x:c r="A165" s="41" t="str">
        <x:f>'Trial Plan'!A165</x:f>
        <x:v>T162</x:v>
      </x:c>
      <x:c r="B165" s="41" t="str">
        <x:f>'Trial Plan'!B165</x:f>
        <x:v>P09</x:v>
      </x:c>
      <x:c r="C165" s="41" t="str">
        <x:f>'Trial Plan'!H165</x:f>
        <x:v>Trace Active Path</x:v>
      </x:c>
      <x:c r="D165" s="41" t="str">
        <x:f>'Trial Plan'!I165</x:f>
        <x:v>Minimap</x:v>
      </x:c>
      <x:c r="E165" s="41" t="str">
        <x:f>'Trial Plan'!K165</x:f>
        <x:v>vertical</x:v>
      </x:c>
      <x:c r="F165" s="41" t="n">
        <x:f>'Trial Plan'!L165</x:f>
        <x:v>91</x:v>
      </x:c>
      <x:c r="G165" s="41" t="str">
        <x:f>'Trial Plan'!M165</x:f>
        <x:v>Climb Ladder 1</x:v>
      </x:c>
      <x:c r="H165" s="85"/>
      <x:c r="I165" s="86"/>
      <x:c r="J165" s="86"/>
      <x:c r="K165" s="86"/>
      <x:c r="L165" s="53"/>
      <x:c r="M165" s="86"/>
      <x:c r="N165" s="86"/>
      <x:c r="O165" s="53"/>
      <x:c r="P165" s="53"/>
      <x:c r="Q165" s="53"/>
      <x:c r="R165" s="53"/>
      <x:c r="S165" s="53"/>
      <x:c r="T165" s="53"/>
    </x:row>
    <x:row r="166">
      <x:c r="A166" s="41" t="str">
        <x:f>'Trial Plan'!A166</x:f>
        <x:v>T163</x:v>
      </x:c>
      <x:c r="B166" s="41" t="str">
        <x:f>'Trial Plan'!B166</x:f>
        <x:v>P10</x:v>
      </x:c>
      <x:c r="C166" s="41" t="str">
        <x:f>'Trial Plan'!H166</x:f>
        <x:v>Locate Action</x:v>
      </x:c>
      <x:c r="D166" s="41" t="str">
        <x:f>'Trial Plan'!I166</x:f>
        <x:v>Fisheye</x:v>
      </x:c>
      <x:c r="E166" s="41" t="str">
        <x:f>'Trial Plan'!K166</x:f>
        <x:v>obstacle</x:v>
      </x:c>
      <x:c r="F166" s="41" t="n">
        <x:f>'Trial Plan'!L166</x:f>
        <x:v>83</x:v>
      </x:c>
      <x:c r="G166" s="41" t="str">
        <x:f>'Trial Plan'!M166</x:f>
        <x:v>Jump Obstacle 1</x:v>
      </x:c>
      <x:c r="H166" s="85"/>
      <x:c r="I166" s="86"/>
      <x:c r="J166" s="86"/>
      <x:c r="K166" s="86"/>
      <x:c r="L166" s="53"/>
      <x:c r="M166" s="86"/>
      <x:c r="N166" s="86"/>
      <x:c r="O166" s="53"/>
      <x:c r="P166" s="53"/>
      <x:c r="Q166" s="53"/>
      <x:c r="R166" s="53"/>
      <x:c r="S166" s="53"/>
      <x:c r="T166" s="53"/>
    </x:row>
    <x:row r="167">
      <x:c r="A167" s="41" t="str">
        <x:f>'Trial Plan'!A167</x:f>
        <x:v>T164</x:v>
      </x:c>
      <x:c r="B167" s="41" t="str">
        <x:f>'Trial Plan'!B167</x:f>
        <x:v>P10</x:v>
      </x:c>
      <x:c r="C167" s="41" t="str">
        <x:f>'Trial Plan'!H167</x:f>
        <x:v>Locate Action</x:v>
      </x:c>
      <x:c r="D167" s="41" t="str">
        <x:f>'Trial Plan'!I167</x:f>
        <x:v>Search</x:v>
      </x:c>
      <x:c r="E167" s="41" t="str">
        <x:f>'Trial Plan'!K167</x:f>
        <x:v>vertical</x:v>
      </x:c>
      <x:c r="F167" s="41" t="n">
        <x:f>'Trial Plan'!L167</x:f>
        <x:v>91</x:v>
      </x:c>
      <x:c r="G167" s="41" t="str">
        <x:f>'Trial Plan'!M167</x:f>
        <x:v>Climb Ladder 1</x:v>
      </x:c>
      <x:c r="H167" s="85"/>
      <x:c r="I167" s="86"/>
      <x:c r="J167" s="86"/>
      <x:c r="K167" s="86"/>
      <x:c r="L167" s="53"/>
      <x:c r="M167" s="86"/>
      <x:c r="N167" s="86"/>
      <x:c r="O167" s="53"/>
      <x:c r="P167" s="53"/>
      <x:c r="Q167" s="53"/>
      <x:c r="R167" s="53"/>
      <x:c r="S167" s="53"/>
      <x:c r="T167" s="53"/>
    </x:row>
    <x:row r="168">
      <x:c r="A168" s="41" t="str">
        <x:f>'Trial Plan'!A168</x:f>
        <x:v>T165</x:v>
      </x:c>
      <x:c r="B168" s="41" t="str">
        <x:f>'Trial Plan'!B168</x:f>
        <x:v>P10</x:v>
      </x:c>
      <x:c r="C168" s="41" t="str">
        <x:f>'Trial Plan'!H168</x:f>
        <x:v>Locate Action</x:v>
      </x:c>
      <x:c r="D168" s="41" t="str">
        <x:f>'Trial Plan'!I168</x:f>
        <x:v>Collapse</x:v>
      </x:c>
      <x:c r="E168" s="41" t="str">
        <x:f>'Trial Plan'!K168</x:f>
        <x:v>patrol</x:v>
      </x:c>
      <x:c r="F168" s="41" t="n">
        <x:f>'Trial Plan'!L168</x:f>
        <x:v>201</x:v>
      </x:c>
      <x:c r="G168" s="41" t="str">
        <x:f>'Trial Plan'!M168</x:f>
        <x:v>Observe Patrol Point 1</x:v>
      </x:c>
      <x:c r="H168" s="85"/>
      <x:c r="I168" s="86"/>
      <x:c r="J168" s="86"/>
      <x:c r="K168" s="86"/>
      <x:c r="L168" s="53"/>
      <x:c r="M168" s="86"/>
      <x:c r="N168" s="86"/>
      <x:c r="O168" s="53"/>
      <x:c r="P168" s="53"/>
      <x:c r="Q168" s="53"/>
      <x:c r="R168" s="53"/>
      <x:c r="S168" s="53"/>
      <x:c r="T168" s="53"/>
    </x:row>
    <x:row r="169">
      <x:c r="A169" s="41" t="str">
        <x:f>'Trial Plan'!A169</x:f>
        <x:v>T166</x:v>
      </x:c>
      <x:c r="B169" s="41" t="str">
        <x:f>'Trial Plan'!B169</x:f>
        <x:v>P10</x:v>
      </x:c>
      <x:c r="C169" s="41" t="str">
        <x:f>'Trial Plan'!H169</x:f>
        <x:v>Locate Action</x:v>
      </x:c>
      <x:c r="D169" s="41" t="str">
        <x:f>'Trial Plan'!I169</x:f>
        <x:v>Minimap</x:v>
      </x:c>
      <x:c r="E169" s="41" t="str">
        <x:f>'Trial Plan'!K169</x:f>
        <x:v>ranged</x:v>
      </x:c>
      <x:c r="F169" s="41" t="n">
        <x:f>'Trial Plan'!L169</x:f>
        <x:v>101</x:v>
      </x:c>
      <x:c r="G169" s="41" t="str">
        <x:f>'Trial Plan'!M169</x:f>
        <x:v>Fire Projectile 1</x:v>
      </x:c>
      <x:c r="H169" s="85"/>
      <x:c r="I169" s="86"/>
      <x:c r="J169" s="86"/>
      <x:c r="K169" s="86"/>
      <x:c r="L169" s="53"/>
      <x:c r="M169" s="86"/>
      <x:c r="N169" s="86"/>
      <x:c r="O169" s="53"/>
      <x:c r="P169" s="53"/>
      <x:c r="Q169" s="53"/>
      <x:c r="R169" s="53"/>
      <x:c r="S169" s="53"/>
      <x:c r="T169" s="53"/>
    </x:row>
    <x:row r="170">
      <x:c r="A170" s="41" t="str">
        <x:f>'Trial Plan'!A170</x:f>
        <x:v>T167</x:v>
      </x:c>
      <x:c r="B170" s="41" t="str">
        <x:f>'Trial Plan'!B170</x:f>
        <x:v>P10</x:v>
      </x:c>
      <x:c r="C170" s="41" t="str">
        <x:f>'Trial Plan'!H170</x:f>
        <x:v>Locate Action</x:v>
      </x:c>
      <x:c r="D170" s="41" t="str">
        <x:f>'Trial Plan'!I170</x:f>
        <x:v>Compact</x:v>
      </x:c>
      <x:c r="E170" s="41" t="str">
        <x:f>'Trial Plan'!K170</x:f>
        <x:v>search</x:v>
      </x:c>
      <x:c r="F170" s="41" t="n">
        <x:f>'Trial Plan'!L170</x:f>
        <x:v>156</x:v>
      </x:c>
      <x:c r="G170" s="41" t="str">
        <x:f>'Trial Plan'!M170</x:f>
        <x:v>Search Movement 1</x:v>
      </x:c>
      <x:c r="H170" s="85"/>
      <x:c r="I170" s="86"/>
      <x:c r="J170" s="86"/>
      <x:c r="K170" s="86"/>
      <x:c r="L170" s="53"/>
      <x:c r="M170" s="86"/>
      <x:c r="N170" s="86"/>
      <x:c r="O170" s="53"/>
      <x:c r="P170" s="53"/>
      <x:c r="Q170" s="53"/>
      <x:c r="R170" s="53"/>
      <x:c r="S170" s="53"/>
      <x:c r="T170" s="53"/>
    </x:row>
    <x:row r="171">
      <x:c r="A171" s="41" t="str">
        <x:f>'Trial Plan'!A171</x:f>
        <x:v>T168</x:v>
      </x:c>
      <x:c r="B171" s="41" t="str">
        <x:f>'Trial Plan'!B171</x:f>
        <x:v>P10</x:v>
      </x:c>
      <x:c r="C171" s="41" t="str">
        <x:f>'Trial Plan'!H171</x:f>
        <x:v>Locate Action</x:v>
      </x:c>
      <x:c r="D171" s="41" t="str">
        <x:f>'Trial Plan'!I171</x:f>
        <x:v>Baseline</x:v>
      </x:c>
      <x:c r="E171" s="41" t="str">
        <x:f>'Trial Plan'!K171</x:f>
        <x:v>pressure</x:v>
      </x:c>
      <x:c r="F171" s="41" t="n">
        <x:f>'Trial Plan'!L171</x:f>
        <x:v>113</x:v>
      </x:c>
      <x:c r="G171" s="41" t="str">
        <x:f>'Trial Plan'!M171</x:f>
        <x:v>Pressure Advance 1</x:v>
      </x:c>
      <x:c r="H171" s="85"/>
      <x:c r="I171" s="86"/>
      <x:c r="J171" s="86"/>
      <x:c r="K171" s="86"/>
      <x:c r="L171" s="53"/>
      <x:c r="M171" s="86"/>
      <x:c r="N171" s="86"/>
      <x:c r="O171" s="53"/>
      <x:c r="P171" s="53"/>
      <x:c r="Q171" s="53"/>
      <x:c r="R171" s="53"/>
      <x:c r="S171" s="53"/>
      <x:c r="T171" s="53"/>
    </x:row>
    <x:row r="172">
      <x:c r="A172" s="41" t="str">
        <x:f>'Trial Plan'!A172</x:f>
        <x:v>T169</x:v>
      </x:c>
      <x:c r="B172" s="41" t="str">
        <x:f>'Trial Plan'!B172</x:f>
        <x:v>P10</x:v>
      </x:c>
      <x:c r="C172" s="41" t="str">
        <x:f>'Trial Plan'!H172</x:f>
        <x:v>Trace Active Path</x:v>
      </x:c>
      <x:c r="D172" s="41" t="str">
        <x:f>'Trial Plan'!I172</x:f>
        <x:v>Fisheye</x:v>
      </x:c>
      <x:c r="E172" s="41" t="str">
        <x:f>'Trial Plan'!K172</x:f>
        <x:v>obstacle</x:v>
      </x:c>
      <x:c r="F172" s="41" t="n">
        <x:f>'Trial Plan'!L172</x:f>
        <x:v>83</x:v>
      </x:c>
      <x:c r="G172" s="41" t="str">
        <x:f>'Trial Plan'!M172</x:f>
        <x:v>Jump Obstacle 1</x:v>
      </x:c>
      <x:c r="H172" s="85"/>
      <x:c r="I172" s="86"/>
      <x:c r="J172" s="86"/>
      <x:c r="K172" s="86"/>
      <x:c r="L172" s="53"/>
      <x:c r="M172" s="86"/>
      <x:c r="N172" s="86"/>
      <x:c r="O172" s="53"/>
      <x:c r="P172" s="53"/>
      <x:c r="Q172" s="53"/>
      <x:c r="R172" s="53"/>
      <x:c r="S172" s="53"/>
      <x:c r="T172" s="53"/>
    </x:row>
    <x:row r="173">
      <x:c r="A173" s="41" t="str">
        <x:f>'Trial Plan'!A173</x:f>
        <x:v>T170</x:v>
      </x:c>
      <x:c r="B173" s="41" t="str">
        <x:f>'Trial Plan'!B173</x:f>
        <x:v>P10</x:v>
      </x:c>
      <x:c r="C173" s="41" t="str">
        <x:f>'Trial Plan'!H173</x:f>
        <x:v>Trace Active Path</x:v>
      </x:c>
      <x:c r="D173" s="41" t="str">
        <x:f>'Trial Plan'!I173</x:f>
        <x:v>Search</x:v>
      </x:c>
      <x:c r="E173" s="41" t="str">
        <x:f>'Trial Plan'!K173</x:f>
        <x:v>vertical</x:v>
      </x:c>
      <x:c r="F173" s="41" t="n">
        <x:f>'Trial Plan'!L173</x:f>
        <x:v>91</x:v>
      </x:c>
      <x:c r="G173" s="41" t="str">
        <x:f>'Trial Plan'!M173</x:f>
        <x:v>Climb Ladder 1</x:v>
      </x:c>
      <x:c r="H173" s="85"/>
      <x:c r="I173" s="86"/>
      <x:c r="J173" s="86"/>
      <x:c r="K173" s="86"/>
      <x:c r="L173" s="53"/>
      <x:c r="M173" s="86"/>
      <x:c r="N173" s="86"/>
      <x:c r="O173" s="53"/>
      <x:c r="P173" s="53"/>
      <x:c r="Q173" s="53"/>
      <x:c r="R173" s="53"/>
      <x:c r="S173" s="53"/>
      <x:c r="T173" s="53"/>
    </x:row>
    <x:row r="174">
      <x:c r="A174" s="41" t="str">
        <x:f>'Trial Plan'!A174</x:f>
        <x:v>T171</x:v>
      </x:c>
      <x:c r="B174" s="41" t="str">
        <x:f>'Trial Plan'!B174</x:f>
        <x:v>P10</x:v>
      </x:c>
      <x:c r="C174" s="41" t="str">
        <x:f>'Trial Plan'!H174</x:f>
        <x:v>Trace Active Path</x:v>
      </x:c>
      <x:c r="D174" s="41" t="str">
        <x:f>'Trial Plan'!I174</x:f>
        <x:v>Collapse</x:v>
      </x:c>
      <x:c r="E174" s="41" t="str">
        <x:f>'Trial Plan'!K174</x:f>
        <x:v>patrol</x:v>
      </x:c>
      <x:c r="F174" s="41" t="n">
        <x:f>'Trial Plan'!L174</x:f>
        <x:v>201</x:v>
      </x:c>
      <x:c r="G174" s="41" t="str">
        <x:f>'Trial Plan'!M174</x:f>
        <x:v>Observe Patrol Point 1</x:v>
      </x:c>
      <x:c r="H174" s="85"/>
      <x:c r="I174" s="86"/>
      <x:c r="J174" s="86"/>
      <x:c r="K174" s="86"/>
      <x:c r="L174" s="53"/>
      <x:c r="M174" s="86"/>
      <x:c r="N174" s="86"/>
      <x:c r="O174" s="53"/>
      <x:c r="P174" s="53"/>
      <x:c r="Q174" s="53"/>
      <x:c r="R174" s="53"/>
      <x:c r="S174" s="53"/>
      <x:c r="T174" s="53"/>
    </x:row>
    <x:row r="175">
      <x:c r="A175" s="41" t="str">
        <x:f>'Trial Plan'!A175</x:f>
        <x:v>T172</x:v>
      </x:c>
      <x:c r="B175" s="41" t="str">
        <x:f>'Trial Plan'!B175</x:f>
        <x:v>P10</x:v>
      </x:c>
      <x:c r="C175" s="41" t="str">
        <x:f>'Trial Plan'!H175</x:f>
        <x:v>Trace Active Path</x:v>
      </x:c>
      <x:c r="D175" s="41" t="str">
        <x:f>'Trial Plan'!I175</x:f>
        <x:v>Minimap</x:v>
      </x:c>
      <x:c r="E175" s="41" t="str">
        <x:f>'Trial Plan'!K175</x:f>
        <x:v>ranged</x:v>
      </x:c>
      <x:c r="F175" s="41" t="n">
        <x:f>'Trial Plan'!L175</x:f>
        <x:v>101</x:v>
      </x:c>
      <x:c r="G175" s="41" t="str">
        <x:f>'Trial Plan'!M175</x:f>
        <x:v>Fire Projectile 1</x:v>
      </x:c>
      <x:c r="H175" s="85"/>
      <x:c r="I175" s="86"/>
      <x:c r="J175" s="86"/>
      <x:c r="K175" s="86"/>
      <x:c r="L175" s="53"/>
      <x:c r="M175" s="86"/>
      <x:c r="N175" s="86"/>
      <x:c r="O175" s="53"/>
      <x:c r="P175" s="53"/>
      <x:c r="Q175" s="53"/>
      <x:c r="R175" s="53"/>
      <x:c r="S175" s="53"/>
      <x:c r="T175" s="53"/>
    </x:row>
    <x:row r="176">
      <x:c r="A176" s="41" t="str">
        <x:f>'Trial Plan'!A176</x:f>
        <x:v>T173</x:v>
      </x:c>
      <x:c r="B176" s="41" t="str">
        <x:f>'Trial Plan'!B176</x:f>
        <x:v>P10</x:v>
      </x:c>
      <x:c r="C176" s="41" t="str">
        <x:f>'Trial Plan'!H176</x:f>
        <x:v>Trace Active Path</x:v>
      </x:c>
      <x:c r="D176" s="41" t="str">
        <x:f>'Trial Plan'!I176</x:f>
        <x:v>Compact</x:v>
      </x:c>
      <x:c r="E176" s="41" t="str">
        <x:f>'Trial Plan'!K176</x:f>
        <x:v>search</x:v>
      </x:c>
      <x:c r="F176" s="41" t="n">
        <x:f>'Trial Plan'!L176</x:f>
        <x:v>156</x:v>
      </x:c>
      <x:c r="G176" s="41" t="str">
        <x:f>'Trial Plan'!M176</x:f>
        <x:v>Search Movement 1</x:v>
      </x:c>
      <x:c r="H176" s="85"/>
      <x:c r="I176" s="86"/>
      <x:c r="J176" s="86"/>
      <x:c r="K176" s="86"/>
      <x:c r="L176" s="53"/>
      <x:c r="M176" s="86"/>
      <x:c r="N176" s="86"/>
      <x:c r="O176" s="53"/>
      <x:c r="P176" s="53"/>
      <x:c r="Q176" s="53"/>
      <x:c r="R176" s="53"/>
      <x:c r="S176" s="53"/>
      <x:c r="T176" s="53"/>
    </x:row>
    <x:row r="177">
      <x:c r="A177" s="41" t="str">
        <x:f>'Trial Plan'!A177</x:f>
        <x:v>T174</x:v>
      </x:c>
      <x:c r="B177" s="41" t="str">
        <x:f>'Trial Plan'!B177</x:f>
        <x:v>P10</x:v>
      </x:c>
      <x:c r="C177" s="41" t="str">
        <x:f>'Trial Plan'!H177</x:f>
        <x:v>Trace Active Path</x:v>
      </x:c>
      <x:c r="D177" s="41" t="str">
        <x:f>'Trial Plan'!I177</x:f>
        <x:v>Baseline</x:v>
      </x:c>
      <x:c r="E177" s="41" t="str">
        <x:f>'Trial Plan'!K177</x:f>
        <x:v>pressure</x:v>
      </x:c>
      <x:c r="F177" s="41" t="n">
        <x:f>'Trial Plan'!L177</x:f>
        <x:v>113</x:v>
      </x:c>
      <x:c r="G177" s="41" t="str">
        <x:f>'Trial Plan'!M177</x:f>
        <x:v>Pressure Advance 1</x:v>
      </x:c>
      <x:c r="H177" s="85"/>
      <x:c r="I177" s="86"/>
      <x:c r="J177" s="86"/>
      <x:c r="K177" s="86"/>
      <x:c r="L177" s="53"/>
      <x:c r="M177" s="86"/>
      <x:c r="N177" s="86"/>
      <x:c r="O177" s="53"/>
      <x:c r="P177" s="53"/>
      <x:c r="Q177" s="53"/>
      <x:c r="R177" s="53"/>
      <x:c r="S177" s="53"/>
      <x:c r="T177" s="53"/>
    </x:row>
    <x:row r="178">
      <x:c r="A178" s="41" t="str">
        <x:f>'Trial Plan'!A178</x:f>
        <x:v>T175</x:v>
      </x:c>
      <x:c r="B178" s="41" t="str">
        <x:f>'Trial Plan'!B178</x:f>
        <x:v>P10</x:v>
      </x:c>
      <x:c r="C178" s="41" t="str">
        <x:f>'Trial Plan'!H178</x:f>
        <x:v>Edit Decorator</x:v>
      </x:c>
      <x:c r="D178" s="41" t="str">
        <x:f>'Trial Plan'!I178</x:f>
        <x:v>Fisheye</x:v>
      </x:c>
      <x:c r="E178" s="41" t="str">
        <x:f>'Trial Plan'!K178</x:f>
        <x:v>defense</x:v>
      </x:c>
      <x:c r="F178" s="41" t="n">
        <x:f>'Trial Plan'!L178</x:f>
        <x:v>31</x:v>
      </x:c>
      <x:c r="G178" s="41" t="str">
        <x:f>'Trial Plan'!M178</x:f>
        <x:v>Defense Cooldown 1</x:v>
      </x:c>
      <x:c r="H178" s="85"/>
      <x:c r="I178" s="86"/>
      <x:c r="J178" s="86"/>
      <x:c r="K178" s="86"/>
      <x:c r="L178" s="53"/>
      <x:c r="M178" s="86"/>
      <x:c r="N178" s="86"/>
      <x:c r="O178" s="53"/>
      <x:c r="P178" s="53"/>
      <x:c r="Q178" s="53"/>
      <x:c r="R178" s="53"/>
      <x:c r="S178" s="53"/>
      <x:c r="T178" s="53"/>
    </x:row>
    <x:row r="179">
      <x:c r="A179" s="41" t="str">
        <x:f>'Trial Plan'!A179</x:f>
        <x:v>T176</x:v>
      </x:c>
      <x:c r="B179" s="41" t="str">
        <x:f>'Trial Plan'!B179</x:f>
        <x:v>P10</x:v>
      </x:c>
      <x:c r="C179" s="41" t="str">
        <x:f>'Trial Plan'!H179</x:f>
        <x:v>Edit Decorator</x:v>
      </x:c>
      <x:c r="D179" s="41" t="str">
        <x:f>'Trial Plan'!I179</x:f>
        <x:v>Search</x:v>
      </x:c>
      <x:c r="E179" s="41" t="str">
        <x:f>'Trial Plan'!K179</x:f>
        <x:v>pressure</x:v>
      </x:c>
      <x:c r="F179" s="41" t="n">
        <x:f>'Trial Plan'!L179</x:f>
        <x:v>114</x:v>
      </x:c>
      <x:c r="G179" s="41" t="str">
        <x:f>'Trial Plan'!M179</x:f>
        <x:v>Pressure Cooldown 1</x:v>
      </x:c>
      <x:c r="H179" s="85"/>
      <x:c r="I179" s="86"/>
      <x:c r="J179" s="86"/>
      <x:c r="K179" s="86"/>
      <x:c r="L179" s="53"/>
      <x:c r="M179" s="86"/>
      <x:c r="N179" s="86"/>
      <x:c r="O179" s="53"/>
      <x:c r="P179" s="53"/>
      <x:c r="Q179" s="53"/>
      <x:c r="R179" s="53"/>
      <x:c r="S179" s="53"/>
      <x:c r="T179" s="53"/>
    </x:row>
    <x:row r="180">
      <x:c r="A180" s="41" t="str">
        <x:f>'Trial Plan'!A180</x:f>
        <x:v>T177</x:v>
      </x:c>
      <x:c r="B180" s="41" t="str">
        <x:f>'Trial Plan'!B180</x:f>
        <x:v>P10</x:v>
      </x:c>
      <x:c r="C180" s="41" t="str">
        <x:f>'Trial Plan'!H180</x:f>
        <x:v>Edit Decorator</x:v>
      </x:c>
      <x:c r="D180" s="41" t="str">
        <x:f>'Trial Plan'!I180</x:f>
        <x:v>Collapse</x:v>
      </x:c>
      <x:c r="E180" s="41" t="str">
        <x:f>'Trial Plan'!K180</x:f>
        <x:v>patrol</x:v>
      </x:c>
      <x:c r="F180" s="41" t="n">
        <x:f>'Trial Plan'!L180</x:f>
        <x:v>202</x:v>
      </x:c>
      <x:c r="G180" s="41" t="str">
        <x:f>'Trial Plan'!M180</x:f>
        <x:v>Patrol Leg Limit 1</x:v>
      </x:c>
      <x:c r="H180" s="85"/>
      <x:c r="I180" s="86"/>
      <x:c r="J180" s="86"/>
      <x:c r="K180" s="86"/>
      <x:c r="L180" s="53"/>
      <x:c r="M180" s="86"/>
      <x:c r="N180" s="86"/>
      <x:c r="O180" s="53"/>
      <x:c r="P180" s="53"/>
      <x:c r="Q180" s="53"/>
      <x:c r="R180" s="53"/>
      <x:c r="S180" s="53"/>
      <x:c r="T180" s="53"/>
    </x:row>
    <x:row r="181">
      <x:c r="A181" s="41" t="str">
        <x:f>'Trial Plan'!A181</x:f>
        <x:v>T178</x:v>
      </x:c>
      <x:c r="B181" s="41" t="str">
        <x:f>'Trial Plan'!B181</x:f>
        <x:v>P10</x:v>
      </x:c>
      <x:c r="C181" s="41" t="str">
        <x:f>'Trial Plan'!H181</x:f>
        <x:v>Edit Decorator</x:v>
      </x:c>
      <x:c r="D181" s="41" t="str">
        <x:f>'Trial Plan'!I181</x:f>
        <x:v>Minimap</x:v>
      </x:c>
      <x:c r="E181" s="41" t="str">
        <x:f>'Trial Plan'!K181</x:f>
        <x:v>chase</x:v>
      </x:c>
      <x:c r="F181" s="41" t="n">
        <x:f>'Trial Plan'!L181</x:f>
        <x:v>133</x:v>
      </x:c>
      <x:c r="G181" s="41" t="str">
        <x:f>'Trial Plan'!M181</x:f>
        <x:v>Chase Step Limit 1</x:v>
      </x:c>
      <x:c r="H181" s="85"/>
      <x:c r="I181" s="86"/>
      <x:c r="J181" s="86"/>
      <x:c r="K181" s="86"/>
      <x:c r="L181" s="53"/>
      <x:c r="M181" s="86"/>
      <x:c r="N181" s="86"/>
      <x:c r="O181" s="53"/>
      <x:c r="P181" s="53"/>
      <x:c r="Q181" s="53"/>
      <x:c r="R181" s="53"/>
      <x:c r="S181" s="53"/>
      <x:c r="T181" s="53"/>
    </x:row>
    <x:row r="182">
      <x:c r="A182" s="41" t="str">
        <x:f>'Trial Plan'!A182</x:f>
        <x:v>T179</x:v>
      </x:c>
      <x:c r="B182" s="41" t="str">
        <x:f>'Trial Plan'!B182</x:f>
        <x:v>P10</x:v>
      </x:c>
      <x:c r="C182" s="41" t="str">
        <x:f>'Trial Plan'!H182</x:f>
        <x:v>Edit Decorator</x:v>
      </x:c>
      <x:c r="D182" s="41" t="str">
        <x:f>'Trial Plan'!I182</x:f>
        <x:v>Compact</x:v>
      </x:c>
      <x:c r="E182" s="41" t="str">
        <x:f>'Trial Plan'!K182</x:f>
        <x:v>return</x:v>
      </x:c>
      <x:c r="F182" s="41" t="n">
        <x:f>'Trial Plan'!L182</x:f>
        <x:v>182</x:v>
      </x:c>
      <x:c r="G182" s="41" t="str">
        <x:f>'Trial Plan'!M182</x:f>
        <x:v>Return Step Limit 1</x:v>
      </x:c>
      <x:c r="H182" s="85"/>
      <x:c r="I182" s="86"/>
      <x:c r="J182" s="86"/>
      <x:c r="K182" s="86"/>
      <x:c r="L182" s="53"/>
      <x:c r="M182" s="86"/>
      <x:c r="N182" s="86"/>
      <x:c r="O182" s="53"/>
      <x:c r="P182" s="53"/>
      <x:c r="Q182" s="53"/>
      <x:c r="R182" s="53"/>
      <x:c r="S182" s="53"/>
      <x:c r="T182" s="53"/>
    </x:row>
    <x:row r="183">
      <x:c r="A183" s="41" t="str">
        <x:f>'Trial Plan'!A183</x:f>
        <x:v>T180</x:v>
      </x:c>
      <x:c r="B183" s="41" t="str">
        <x:f>'Trial Plan'!B183</x:f>
        <x:v>P10</x:v>
      </x:c>
      <x:c r="C183" s="41" t="str">
        <x:f>'Trial Plan'!H183</x:f>
        <x:v>Edit Decorator</x:v>
      </x:c>
      <x:c r="D183" s="41" t="str">
        <x:f>'Trial Plan'!I183</x:f>
        <x:v>Baseline</x:v>
      </x:c>
      <x:c r="E183" s="41" t="str">
        <x:f>'Trial Plan'!K183</x:f>
        <x:v>search</x:v>
      </x:c>
      <x:c r="F183" s="41" t="n">
        <x:f>'Trial Plan'!L183</x:f>
        <x:v>159</x:v>
      </x:c>
      <x:c r="G183" s="41" t="str">
        <x:f>'Trial Plan'!M183</x:f>
        <x:v>Search Leg Limit 1</x:v>
      </x:c>
      <x:c r="H183" s="85"/>
      <x:c r="I183" s="86"/>
      <x:c r="J183" s="86"/>
      <x:c r="K183" s="86"/>
      <x:c r="L183" s="53"/>
      <x:c r="M183" s="86"/>
      <x:c r="N183" s="86"/>
      <x:c r="O183" s="53"/>
      <x:c r="P183" s="53"/>
      <x:c r="Q183" s="53"/>
      <x:c r="R183" s="53"/>
      <x:c r="S183" s="53"/>
      <x:c r="T183" s="53"/>
    </x:row>
    <x:row r="184">
      <x:c r="A184" s="41" t="str">
        <x:f>'Trial Plan'!A184</x:f>
        <x:v>T181</x:v>
      </x:c>
      <x:c r="B184" s="41" t="str">
        <x:f>'Trial Plan'!B184</x:f>
        <x:v>P11</x:v>
      </x:c>
      <x:c r="C184" s="41" t="str">
        <x:f>'Trial Plan'!H184</x:f>
        <x:v>Trace Active Path</x:v>
      </x:c>
      <x:c r="D184" s="41" t="str">
        <x:f>'Trial Plan'!I184</x:f>
        <x:v>Search</x:v>
      </x:c>
      <x:c r="E184" s="41" t="str">
        <x:f>'Trial Plan'!K184</x:f>
        <x:v>ranged</x:v>
      </x:c>
      <x:c r="F184" s="41" t="n">
        <x:f>'Trial Plan'!L184</x:f>
        <x:v>101</x:v>
      </x:c>
      <x:c r="G184" s="41" t="str">
        <x:f>'Trial Plan'!M184</x:f>
        <x:v>Fire Projectile 1</x:v>
      </x:c>
      <x:c r="H184" s="85"/>
      <x:c r="I184" s="86"/>
      <x:c r="J184" s="86"/>
      <x:c r="K184" s="86"/>
      <x:c r="L184" s="53"/>
      <x:c r="M184" s="86"/>
      <x:c r="N184" s="86"/>
      <x:c r="O184" s="53"/>
      <x:c r="P184" s="53"/>
      <x:c r="Q184" s="53"/>
      <x:c r="R184" s="53"/>
      <x:c r="S184" s="53"/>
      <x:c r="T184" s="53"/>
    </x:row>
    <x:row r="185">
      <x:c r="A185" s="41" t="str">
        <x:f>'Trial Plan'!A185</x:f>
        <x:v>T182</x:v>
      </x:c>
      <x:c r="B185" s="41" t="str">
        <x:f>'Trial Plan'!B185</x:f>
        <x:v>P11</x:v>
      </x:c>
      <x:c r="C185" s="41" t="str">
        <x:f>'Trial Plan'!H185</x:f>
        <x:v>Trace Active Path</x:v>
      </x:c>
      <x:c r="D185" s="41" t="str">
        <x:f>'Trial Plan'!I185</x:f>
        <x:v>Minimap</x:v>
      </x:c>
      <x:c r="E185" s="41" t="str">
        <x:f>'Trial Plan'!K185</x:f>
        <x:v>pressure</x:v>
      </x:c>
      <x:c r="F185" s="41" t="n">
        <x:f>'Trial Plan'!L185</x:f>
        <x:v>113</x:v>
      </x:c>
      <x:c r="G185" s="41" t="str">
        <x:f>'Trial Plan'!M185</x:f>
        <x:v>Pressure Advance 1</x:v>
      </x:c>
      <x:c r="H185" s="85"/>
      <x:c r="I185" s="86"/>
      <x:c r="J185" s="86"/>
      <x:c r="K185" s="86"/>
      <x:c r="L185" s="53"/>
      <x:c r="M185" s="86"/>
      <x:c r="N185" s="86"/>
      <x:c r="O185" s="53"/>
      <x:c r="P185" s="53"/>
      <x:c r="Q185" s="53"/>
      <x:c r="R185" s="53"/>
      <x:c r="S185" s="53"/>
      <x:c r="T185" s="53"/>
    </x:row>
    <x:row r="186">
      <x:c r="A186" s="41" t="str">
        <x:f>'Trial Plan'!A186</x:f>
        <x:v>T183</x:v>
      </x:c>
      <x:c r="B186" s="41" t="str">
        <x:f>'Trial Plan'!B186</x:f>
        <x:v>P11</x:v>
      </x:c>
      <x:c r="C186" s="41" t="str">
        <x:f>'Trial Plan'!H186</x:f>
        <x:v>Trace Active Path</x:v>
      </x:c>
      <x:c r="D186" s="41" t="str">
        <x:f>'Trial Plan'!I186</x:f>
        <x:v>Fisheye</x:v>
      </x:c>
      <x:c r="E186" s="41" t="str">
        <x:f>'Trial Plan'!K186</x:f>
        <x:v>vertical</x:v>
      </x:c>
      <x:c r="F186" s="41" t="n">
        <x:f>'Trial Plan'!L186</x:f>
        <x:v>91</x:v>
      </x:c>
      <x:c r="G186" s="41" t="str">
        <x:f>'Trial Plan'!M186</x:f>
        <x:v>Climb Ladder 1</x:v>
      </x:c>
      <x:c r="H186" s="85"/>
      <x:c r="I186" s="86"/>
      <x:c r="J186" s="86"/>
      <x:c r="K186" s="86"/>
      <x:c r="L186" s="53"/>
      <x:c r="M186" s="86"/>
      <x:c r="N186" s="86"/>
      <x:c r="O186" s="53"/>
      <x:c r="P186" s="53"/>
      <x:c r="Q186" s="53"/>
      <x:c r="R186" s="53"/>
      <x:c r="S186" s="53"/>
      <x:c r="T186" s="53"/>
    </x:row>
    <x:row r="187">
      <x:c r="A187" s="41" t="str">
        <x:f>'Trial Plan'!A187</x:f>
        <x:v>T184</x:v>
      </x:c>
      <x:c r="B187" s="41" t="str">
        <x:f>'Trial Plan'!B187</x:f>
        <x:v>P11</x:v>
      </x:c>
      <x:c r="C187" s="41" t="str">
        <x:f>'Trial Plan'!H187</x:f>
        <x:v>Trace Active Path</x:v>
      </x:c>
      <x:c r="D187" s="41" t="str">
        <x:f>'Trial Plan'!I187</x:f>
        <x:v>Baseline</x:v>
      </x:c>
      <x:c r="E187" s="41" t="str">
        <x:f>'Trial Plan'!K187</x:f>
        <x:v>search</x:v>
      </x:c>
      <x:c r="F187" s="41" t="n">
        <x:f>'Trial Plan'!L187</x:f>
        <x:v>156</x:v>
      </x:c>
      <x:c r="G187" s="41" t="str">
        <x:f>'Trial Plan'!M187</x:f>
        <x:v>Search Movement 1</x:v>
      </x:c>
      <x:c r="H187" s="85"/>
      <x:c r="I187" s="86"/>
      <x:c r="J187" s="86"/>
      <x:c r="K187" s="86"/>
      <x:c r="L187" s="53"/>
      <x:c r="M187" s="86"/>
      <x:c r="N187" s="86"/>
      <x:c r="O187" s="53"/>
      <x:c r="P187" s="53"/>
      <x:c r="Q187" s="53"/>
      <x:c r="R187" s="53"/>
      <x:c r="S187" s="53"/>
      <x:c r="T187" s="53"/>
    </x:row>
    <x:row r="188">
      <x:c r="A188" s="41" t="str">
        <x:f>'Trial Plan'!A188</x:f>
        <x:v>T185</x:v>
      </x:c>
      <x:c r="B188" s="41" t="str">
        <x:f>'Trial Plan'!B188</x:f>
        <x:v>P11</x:v>
      </x:c>
      <x:c r="C188" s="41" t="str">
        <x:f>'Trial Plan'!H188</x:f>
        <x:v>Trace Active Path</x:v>
      </x:c>
      <x:c r="D188" s="41" t="str">
        <x:f>'Trial Plan'!I188</x:f>
        <x:v>Collapse</x:v>
      </x:c>
      <x:c r="E188" s="41" t="str">
        <x:f>'Trial Plan'!K188</x:f>
        <x:v>obstacle</x:v>
      </x:c>
      <x:c r="F188" s="41" t="n">
        <x:f>'Trial Plan'!L188</x:f>
        <x:v>83</x:v>
      </x:c>
      <x:c r="G188" s="41" t="str">
        <x:f>'Trial Plan'!M188</x:f>
        <x:v>Jump Obstacle 1</x:v>
      </x:c>
      <x:c r="H188" s="85"/>
      <x:c r="I188" s="86"/>
      <x:c r="J188" s="86"/>
      <x:c r="K188" s="86"/>
      <x:c r="L188" s="53"/>
      <x:c r="M188" s="86"/>
      <x:c r="N188" s="86"/>
      <x:c r="O188" s="53"/>
      <x:c r="P188" s="53"/>
      <x:c r="Q188" s="53"/>
      <x:c r="R188" s="53"/>
      <x:c r="S188" s="53"/>
      <x:c r="T188" s="53"/>
    </x:row>
    <x:row r="189">
      <x:c r="A189" s="41" t="str">
        <x:f>'Trial Plan'!A189</x:f>
        <x:v>T186</x:v>
      </x:c>
      <x:c r="B189" s="41" t="str">
        <x:f>'Trial Plan'!B189</x:f>
        <x:v>P11</x:v>
      </x:c>
      <x:c r="C189" s="41" t="str">
        <x:f>'Trial Plan'!H189</x:f>
        <x:v>Trace Active Path</x:v>
      </x:c>
      <x:c r="D189" s="41" t="str">
        <x:f>'Trial Plan'!I189</x:f>
        <x:v>Compact</x:v>
      </x:c>
      <x:c r="E189" s="41" t="str">
        <x:f>'Trial Plan'!K189</x:f>
        <x:v>patrol</x:v>
      </x:c>
      <x:c r="F189" s="41" t="n">
        <x:f>'Trial Plan'!L189</x:f>
        <x:v>201</x:v>
      </x:c>
      <x:c r="G189" s="41" t="str">
        <x:f>'Trial Plan'!M189</x:f>
        <x:v>Observe Patrol Point 1</x:v>
      </x:c>
      <x:c r="H189" s="85"/>
      <x:c r="I189" s="86"/>
      <x:c r="J189" s="86"/>
      <x:c r="K189" s="86"/>
      <x:c r="L189" s="53"/>
      <x:c r="M189" s="86"/>
      <x:c r="N189" s="86"/>
      <x:c r="O189" s="53"/>
      <x:c r="P189" s="53"/>
      <x:c r="Q189" s="53"/>
      <x:c r="R189" s="53"/>
      <x:c r="S189" s="53"/>
      <x:c r="T189" s="53"/>
    </x:row>
    <x:row r="190">
      <x:c r="A190" s="41" t="str">
        <x:f>'Trial Plan'!A190</x:f>
        <x:v>T187</x:v>
      </x:c>
      <x:c r="B190" s="41" t="str">
        <x:f>'Trial Plan'!B190</x:f>
        <x:v>P11</x:v>
      </x:c>
      <x:c r="C190" s="41" t="str">
        <x:f>'Trial Plan'!H190</x:f>
        <x:v>Edit Decorator</x:v>
      </x:c>
      <x:c r="D190" s="41" t="str">
        <x:f>'Trial Plan'!I190</x:f>
        <x:v>Search</x:v>
      </x:c>
      <x:c r="E190" s="41" t="str">
        <x:f>'Trial Plan'!K190</x:f>
        <x:v>chase</x:v>
      </x:c>
      <x:c r="F190" s="41" t="n">
        <x:f>'Trial Plan'!L190</x:f>
        <x:v>133</x:v>
      </x:c>
      <x:c r="G190" s="41" t="str">
        <x:f>'Trial Plan'!M190</x:f>
        <x:v>Chase Step Limit 1</x:v>
      </x:c>
      <x:c r="H190" s="85"/>
      <x:c r="I190" s="86"/>
      <x:c r="J190" s="86"/>
      <x:c r="K190" s="86"/>
      <x:c r="L190" s="53"/>
      <x:c r="M190" s="86"/>
      <x:c r="N190" s="86"/>
      <x:c r="O190" s="53"/>
      <x:c r="P190" s="53"/>
      <x:c r="Q190" s="53"/>
      <x:c r="R190" s="53"/>
      <x:c r="S190" s="53"/>
      <x:c r="T190" s="53"/>
    </x:row>
    <x:row r="191">
      <x:c r="A191" s="41" t="str">
        <x:f>'Trial Plan'!A191</x:f>
        <x:v>T188</x:v>
      </x:c>
      <x:c r="B191" s="41" t="str">
        <x:f>'Trial Plan'!B191</x:f>
        <x:v>P11</x:v>
      </x:c>
      <x:c r="C191" s="41" t="str">
        <x:f>'Trial Plan'!H191</x:f>
        <x:v>Edit Decorator</x:v>
      </x:c>
      <x:c r="D191" s="41" t="str">
        <x:f>'Trial Plan'!I191</x:f>
        <x:v>Minimap</x:v>
      </x:c>
      <x:c r="E191" s="41" t="str">
        <x:f>'Trial Plan'!K191</x:f>
        <x:v>search</x:v>
      </x:c>
      <x:c r="F191" s="41" t="n">
        <x:f>'Trial Plan'!L191</x:f>
        <x:v>159</x:v>
      </x:c>
      <x:c r="G191" s="41" t="str">
        <x:f>'Trial Plan'!M191</x:f>
        <x:v>Search Leg Limit 1</x:v>
      </x:c>
      <x:c r="H191" s="85"/>
      <x:c r="I191" s="86"/>
      <x:c r="J191" s="86"/>
      <x:c r="K191" s="86"/>
      <x:c r="L191" s="53"/>
      <x:c r="M191" s="86"/>
      <x:c r="N191" s="86"/>
      <x:c r="O191" s="53"/>
      <x:c r="P191" s="53"/>
      <x:c r="Q191" s="53"/>
      <x:c r="R191" s="53"/>
      <x:c r="S191" s="53"/>
      <x:c r="T191" s="53"/>
    </x:row>
    <x:row r="192">
      <x:c r="A192" s="41" t="str">
        <x:f>'Trial Plan'!A192</x:f>
        <x:v>T189</x:v>
      </x:c>
      <x:c r="B192" s="41" t="str">
        <x:f>'Trial Plan'!B192</x:f>
        <x:v>P11</x:v>
      </x:c>
      <x:c r="C192" s="41" t="str">
        <x:f>'Trial Plan'!H192</x:f>
        <x:v>Edit Decorator</x:v>
      </x:c>
      <x:c r="D192" s="41" t="str">
        <x:f>'Trial Plan'!I192</x:f>
        <x:v>Fisheye</x:v>
      </x:c>
      <x:c r="E192" s="41" t="str">
        <x:f>'Trial Plan'!K192</x:f>
        <x:v>pressure</x:v>
      </x:c>
      <x:c r="F192" s="41" t="n">
        <x:f>'Trial Plan'!L192</x:f>
        <x:v>114</x:v>
      </x:c>
      <x:c r="G192" s="41" t="str">
        <x:f>'Trial Plan'!M192</x:f>
        <x:v>Pressure Cooldown 1</x:v>
      </x:c>
      <x:c r="H192" s="85"/>
      <x:c r="I192" s="86"/>
      <x:c r="J192" s="86"/>
      <x:c r="K192" s="86"/>
      <x:c r="L192" s="53"/>
      <x:c r="M192" s="86"/>
      <x:c r="N192" s="86"/>
      <x:c r="O192" s="53"/>
      <x:c r="P192" s="53"/>
      <x:c r="Q192" s="53"/>
      <x:c r="R192" s="53"/>
      <x:c r="S192" s="53"/>
      <x:c r="T192" s="53"/>
    </x:row>
    <x:row r="193">
      <x:c r="A193" s="41" t="str">
        <x:f>'Trial Plan'!A193</x:f>
        <x:v>T190</x:v>
      </x:c>
      <x:c r="B193" s="41" t="str">
        <x:f>'Trial Plan'!B193</x:f>
        <x:v>P11</x:v>
      </x:c>
      <x:c r="C193" s="41" t="str">
        <x:f>'Trial Plan'!H193</x:f>
        <x:v>Edit Decorator</x:v>
      </x:c>
      <x:c r="D193" s="41" t="str">
        <x:f>'Trial Plan'!I193</x:f>
        <x:v>Baseline</x:v>
      </x:c>
      <x:c r="E193" s="41" t="str">
        <x:f>'Trial Plan'!K193</x:f>
        <x:v>return</x:v>
      </x:c>
      <x:c r="F193" s="41" t="n">
        <x:f>'Trial Plan'!L193</x:f>
        <x:v>182</x:v>
      </x:c>
      <x:c r="G193" s="41" t="str">
        <x:f>'Trial Plan'!M193</x:f>
        <x:v>Return Step Limit 1</x:v>
      </x:c>
      <x:c r="H193" s="85"/>
      <x:c r="I193" s="86"/>
      <x:c r="J193" s="86"/>
      <x:c r="K193" s="86"/>
      <x:c r="L193" s="53"/>
      <x:c r="M193" s="86"/>
      <x:c r="N193" s="86"/>
      <x:c r="O193" s="53"/>
      <x:c r="P193" s="53"/>
      <x:c r="Q193" s="53"/>
      <x:c r="R193" s="53"/>
      <x:c r="S193" s="53"/>
      <x:c r="T193" s="53"/>
    </x:row>
    <x:row r="194">
      <x:c r="A194" s="41" t="str">
        <x:f>'Trial Plan'!A194</x:f>
        <x:v>T191</x:v>
      </x:c>
      <x:c r="B194" s="41" t="str">
        <x:f>'Trial Plan'!B194</x:f>
        <x:v>P11</x:v>
      </x:c>
      <x:c r="C194" s="41" t="str">
        <x:f>'Trial Plan'!H194</x:f>
        <x:v>Edit Decorator</x:v>
      </x:c>
      <x:c r="D194" s="41" t="str">
        <x:f>'Trial Plan'!I194</x:f>
        <x:v>Collapse</x:v>
      </x:c>
      <x:c r="E194" s="41" t="str">
        <x:f>'Trial Plan'!K194</x:f>
        <x:v>defense</x:v>
      </x:c>
      <x:c r="F194" s="41" t="n">
        <x:f>'Trial Plan'!L194</x:f>
        <x:v>31</x:v>
      </x:c>
      <x:c r="G194" s="41" t="str">
        <x:f>'Trial Plan'!M194</x:f>
        <x:v>Defense Cooldown 1</x:v>
      </x:c>
      <x:c r="H194" s="85"/>
      <x:c r="I194" s="86"/>
      <x:c r="J194" s="86"/>
      <x:c r="K194" s="86"/>
      <x:c r="L194" s="53"/>
      <x:c r="M194" s="86"/>
      <x:c r="N194" s="86"/>
      <x:c r="O194" s="53"/>
      <x:c r="P194" s="53"/>
      <x:c r="Q194" s="53"/>
      <x:c r="R194" s="53"/>
      <x:c r="S194" s="53"/>
      <x:c r="T194" s="53"/>
    </x:row>
    <x:row r="195">
      <x:c r="A195" s="41" t="str">
        <x:f>'Trial Plan'!A195</x:f>
        <x:v>T192</x:v>
      </x:c>
      <x:c r="B195" s="41" t="str">
        <x:f>'Trial Plan'!B195</x:f>
        <x:v>P11</x:v>
      </x:c>
      <x:c r="C195" s="41" t="str">
        <x:f>'Trial Plan'!H195</x:f>
        <x:v>Edit Decorator</x:v>
      </x:c>
      <x:c r="D195" s="41" t="str">
        <x:f>'Trial Plan'!I195</x:f>
        <x:v>Compact</x:v>
      </x:c>
      <x:c r="E195" s="41" t="str">
        <x:f>'Trial Plan'!K195</x:f>
        <x:v>patrol</x:v>
      </x:c>
      <x:c r="F195" s="41" t="n">
        <x:f>'Trial Plan'!L195</x:f>
        <x:v>202</x:v>
      </x:c>
      <x:c r="G195" s="41" t="str">
        <x:f>'Trial Plan'!M195</x:f>
        <x:v>Patrol Leg Limit 1</x:v>
      </x:c>
      <x:c r="H195" s="85"/>
      <x:c r="I195" s="86"/>
      <x:c r="J195" s="86"/>
      <x:c r="K195" s="86"/>
      <x:c r="L195" s="53"/>
      <x:c r="M195" s="86"/>
      <x:c r="N195" s="86"/>
      <x:c r="O195" s="53"/>
      <x:c r="P195" s="53"/>
      <x:c r="Q195" s="53"/>
      <x:c r="R195" s="53"/>
      <x:c r="S195" s="53"/>
      <x:c r="T195" s="53"/>
    </x:row>
    <x:row r="196">
      <x:c r="A196" s="41" t="str">
        <x:f>'Trial Plan'!A196</x:f>
        <x:v>T193</x:v>
      </x:c>
      <x:c r="B196" s="41" t="str">
        <x:f>'Trial Plan'!B196</x:f>
        <x:v>P11</x:v>
      </x:c>
      <x:c r="C196" s="41" t="str">
        <x:f>'Trial Plan'!H196</x:f>
        <x:v>Locate Action</x:v>
      </x:c>
      <x:c r="D196" s="41" t="str">
        <x:f>'Trial Plan'!I196</x:f>
        <x:v>Search</x:v>
      </x:c>
      <x:c r="E196" s="41" t="str">
        <x:f>'Trial Plan'!K196</x:f>
        <x:v>ranged</x:v>
      </x:c>
      <x:c r="F196" s="41" t="n">
        <x:f>'Trial Plan'!L196</x:f>
        <x:v>101</x:v>
      </x:c>
      <x:c r="G196" s="41" t="str">
        <x:f>'Trial Plan'!M196</x:f>
        <x:v>Fire Projectile 1</x:v>
      </x:c>
      <x:c r="H196" s="85"/>
      <x:c r="I196" s="86"/>
      <x:c r="J196" s="86"/>
      <x:c r="K196" s="86"/>
      <x:c r="L196" s="53"/>
      <x:c r="M196" s="86"/>
      <x:c r="N196" s="86"/>
      <x:c r="O196" s="53"/>
      <x:c r="P196" s="53"/>
      <x:c r="Q196" s="53"/>
      <x:c r="R196" s="53"/>
      <x:c r="S196" s="53"/>
      <x:c r="T196" s="53"/>
    </x:row>
    <x:row r="197">
      <x:c r="A197" s="41" t="str">
        <x:f>'Trial Plan'!A197</x:f>
        <x:v>T194</x:v>
      </x:c>
      <x:c r="B197" s="41" t="str">
        <x:f>'Trial Plan'!B197</x:f>
        <x:v>P11</x:v>
      </x:c>
      <x:c r="C197" s="41" t="str">
        <x:f>'Trial Plan'!H197</x:f>
        <x:v>Locate Action</x:v>
      </x:c>
      <x:c r="D197" s="41" t="str">
        <x:f>'Trial Plan'!I197</x:f>
        <x:v>Minimap</x:v>
      </x:c>
      <x:c r="E197" s="41" t="str">
        <x:f>'Trial Plan'!K197</x:f>
        <x:v>pressure</x:v>
      </x:c>
      <x:c r="F197" s="41" t="n">
        <x:f>'Trial Plan'!L197</x:f>
        <x:v>113</x:v>
      </x:c>
      <x:c r="G197" s="41" t="str">
        <x:f>'Trial Plan'!M197</x:f>
        <x:v>Pressure Advance 1</x:v>
      </x:c>
      <x:c r="H197" s="85"/>
      <x:c r="I197" s="86"/>
      <x:c r="J197" s="86"/>
      <x:c r="K197" s="86"/>
      <x:c r="L197" s="53"/>
      <x:c r="M197" s="86"/>
      <x:c r="N197" s="86"/>
      <x:c r="O197" s="53"/>
      <x:c r="P197" s="53"/>
      <x:c r="Q197" s="53"/>
      <x:c r="R197" s="53"/>
      <x:c r="S197" s="53"/>
      <x:c r="T197" s="53"/>
    </x:row>
    <x:row r="198">
      <x:c r="A198" s="41" t="str">
        <x:f>'Trial Plan'!A198</x:f>
        <x:v>T195</x:v>
      </x:c>
      <x:c r="B198" s="41" t="str">
        <x:f>'Trial Plan'!B198</x:f>
        <x:v>P11</x:v>
      </x:c>
      <x:c r="C198" s="41" t="str">
        <x:f>'Trial Plan'!H198</x:f>
        <x:v>Locate Action</x:v>
      </x:c>
      <x:c r="D198" s="41" t="str">
        <x:f>'Trial Plan'!I198</x:f>
        <x:v>Fisheye</x:v>
      </x:c>
      <x:c r="E198" s="41" t="str">
        <x:f>'Trial Plan'!K198</x:f>
        <x:v>vertical</x:v>
      </x:c>
      <x:c r="F198" s="41" t="n">
        <x:f>'Trial Plan'!L198</x:f>
        <x:v>91</x:v>
      </x:c>
      <x:c r="G198" s="41" t="str">
        <x:f>'Trial Plan'!M198</x:f>
        <x:v>Climb Ladder 1</x:v>
      </x:c>
      <x:c r="H198" s="85"/>
      <x:c r="I198" s="86"/>
      <x:c r="J198" s="86"/>
      <x:c r="K198" s="86"/>
      <x:c r="L198" s="53"/>
      <x:c r="M198" s="86"/>
      <x:c r="N198" s="86"/>
      <x:c r="O198" s="53"/>
      <x:c r="P198" s="53"/>
      <x:c r="Q198" s="53"/>
      <x:c r="R198" s="53"/>
      <x:c r="S198" s="53"/>
      <x:c r="T198" s="53"/>
    </x:row>
    <x:row r="199">
      <x:c r="A199" s="41" t="str">
        <x:f>'Trial Plan'!A199</x:f>
        <x:v>T196</x:v>
      </x:c>
      <x:c r="B199" s="41" t="str">
        <x:f>'Trial Plan'!B199</x:f>
        <x:v>P11</x:v>
      </x:c>
      <x:c r="C199" s="41" t="str">
        <x:f>'Trial Plan'!H199</x:f>
        <x:v>Locate Action</x:v>
      </x:c>
      <x:c r="D199" s="41" t="str">
        <x:f>'Trial Plan'!I199</x:f>
        <x:v>Baseline</x:v>
      </x:c>
      <x:c r="E199" s="41" t="str">
        <x:f>'Trial Plan'!K199</x:f>
        <x:v>search</x:v>
      </x:c>
      <x:c r="F199" s="41" t="n">
        <x:f>'Trial Plan'!L199</x:f>
        <x:v>156</x:v>
      </x:c>
      <x:c r="G199" s="41" t="str">
        <x:f>'Trial Plan'!M199</x:f>
        <x:v>Search Movement 1</x:v>
      </x:c>
      <x:c r="H199" s="85"/>
      <x:c r="I199" s="86"/>
      <x:c r="J199" s="86"/>
      <x:c r="K199" s="86"/>
      <x:c r="L199" s="53"/>
      <x:c r="M199" s="86"/>
      <x:c r="N199" s="86"/>
      <x:c r="O199" s="53"/>
      <x:c r="P199" s="53"/>
      <x:c r="Q199" s="53"/>
      <x:c r="R199" s="53"/>
      <x:c r="S199" s="53"/>
      <x:c r="T199" s="53"/>
    </x:row>
    <x:row r="200">
      <x:c r="A200" s="41" t="str">
        <x:f>'Trial Plan'!A200</x:f>
        <x:v>T197</x:v>
      </x:c>
      <x:c r="B200" s="41" t="str">
        <x:f>'Trial Plan'!B200</x:f>
        <x:v>P11</x:v>
      </x:c>
      <x:c r="C200" s="41" t="str">
        <x:f>'Trial Plan'!H200</x:f>
        <x:v>Locate Action</x:v>
      </x:c>
      <x:c r="D200" s="41" t="str">
        <x:f>'Trial Plan'!I200</x:f>
        <x:v>Collapse</x:v>
      </x:c>
      <x:c r="E200" s="41" t="str">
        <x:f>'Trial Plan'!K200</x:f>
        <x:v>obstacle</x:v>
      </x:c>
      <x:c r="F200" s="41" t="n">
        <x:f>'Trial Plan'!L200</x:f>
        <x:v>83</x:v>
      </x:c>
      <x:c r="G200" s="41" t="str">
        <x:f>'Trial Plan'!M200</x:f>
        <x:v>Jump Obstacle 1</x:v>
      </x:c>
      <x:c r="H200" s="85"/>
      <x:c r="I200" s="86"/>
      <x:c r="J200" s="86"/>
      <x:c r="K200" s="86"/>
      <x:c r="L200" s="53"/>
      <x:c r="M200" s="86"/>
      <x:c r="N200" s="86"/>
      <x:c r="O200" s="53"/>
      <x:c r="P200" s="53"/>
      <x:c r="Q200" s="53"/>
      <x:c r="R200" s="53"/>
      <x:c r="S200" s="53"/>
      <x:c r="T200" s="53"/>
    </x:row>
    <x:row r="201">
      <x:c r="A201" s="41" t="str">
        <x:f>'Trial Plan'!A201</x:f>
        <x:v>T198</x:v>
      </x:c>
      <x:c r="B201" s="41" t="str">
        <x:f>'Trial Plan'!B201</x:f>
        <x:v>P11</x:v>
      </x:c>
      <x:c r="C201" s="41" t="str">
        <x:f>'Trial Plan'!H201</x:f>
        <x:v>Locate Action</x:v>
      </x:c>
      <x:c r="D201" s="41" t="str">
        <x:f>'Trial Plan'!I201</x:f>
        <x:v>Compact</x:v>
      </x:c>
      <x:c r="E201" s="41" t="str">
        <x:f>'Trial Plan'!K201</x:f>
        <x:v>patrol</x:v>
      </x:c>
      <x:c r="F201" s="41" t="n">
        <x:f>'Trial Plan'!L201</x:f>
        <x:v>201</x:v>
      </x:c>
      <x:c r="G201" s="41" t="str">
        <x:f>'Trial Plan'!M201</x:f>
        <x:v>Observe Patrol Point 1</x:v>
      </x:c>
      <x:c r="H201" s="85"/>
      <x:c r="I201" s="86"/>
      <x:c r="J201" s="86"/>
      <x:c r="K201" s="86"/>
      <x:c r="L201" s="53"/>
      <x:c r="M201" s="86"/>
      <x:c r="N201" s="86"/>
      <x:c r="O201" s="53"/>
      <x:c r="P201" s="53"/>
      <x:c r="Q201" s="53"/>
      <x:c r="R201" s="53"/>
      <x:c r="S201" s="53"/>
      <x:c r="T201" s="53"/>
    </x:row>
    <x:row r="202">
      <x:c r="A202" s="41" t="str">
        <x:f>'Trial Plan'!A202</x:f>
        <x:v>T199</x:v>
      </x:c>
      <x:c r="B202" s="41" t="str">
        <x:f>'Trial Plan'!B202</x:f>
        <x:v>P12</x:v>
      </x:c>
      <x:c r="C202" s="41" t="str">
        <x:f>'Trial Plan'!H202</x:f>
        <x:v>Edit Decorator</x:v>
      </x:c>
      <x:c r="D202" s="41" t="str">
        <x:f>'Trial Plan'!I202</x:f>
        <x:v>Minimap</x:v>
      </x:c>
      <x:c r="E202" s="41" t="str">
        <x:f>'Trial Plan'!K202</x:f>
        <x:v>return</x:v>
      </x:c>
      <x:c r="F202" s="41" t="n">
        <x:f>'Trial Plan'!L202</x:f>
        <x:v>182</x:v>
      </x:c>
      <x:c r="G202" s="41" t="str">
        <x:f>'Trial Plan'!M202</x:f>
        <x:v>Return Step Limit 1</x:v>
      </x:c>
      <x:c r="H202" s="85"/>
      <x:c r="I202" s="86"/>
      <x:c r="J202" s="86"/>
      <x:c r="K202" s="86"/>
      <x:c r="L202" s="53"/>
      <x:c r="M202" s="86"/>
      <x:c r="N202" s="86"/>
      <x:c r="O202" s="53"/>
      <x:c r="P202" s="53"/>
      <x:c r="Q202" s="53"/>
      <x:c r="R202" s="53"/>
      <x:c r="S202" s="53"/>
      <x:c r="T202" s="53"/>
    </x:row>
    <x:row r="203">
      <x:c r="A203" s="41" t="str">
        <x:f>'Trial Plan'!A203</x:f>
        <x:v>T200</x:v>
      </x:c>
      <x:c r="B203" s="41" t="str">
        <x:f>'Trial Plan'!B203</x:f>
        <x:v>P12</x:v>
      </x:c>
      <x:c r="C203" s="41" t="str">
        <x:f>'Trial Plan'!H203</x:f>
        <x:v>Edit Decorator</x:v>
      </x:c>
      <x:c r="D203" s="41" t="str">
        <x:f>'Trial Plan'!I203</x:f>
        <x:v>Baseline</x:v>
      </x:c>
      <x:c r="E203" s="41" t="str">
        <x:f>'Trial Plan'!K203</x:f>
        <x:v>patrol</x:v>
      </x:c>
      <x:c r="F203" s="41" t="n">
        <x:f>'Trial Plan'!L203</x:f>
        <x:v>202</x:v>
      </x:c>
      <x:c r="G203" s="41" t="str">
        <x:f>'Trial Plan'!M203</x:f>
        <x:v>Patrol Leg Limit 1</x:v>
      </x:c>
      <x:c r="H203" s="85"/>
      <x:c r="I203" s="86"/>
      <x:c r="J203" s="86"/>
      <x:c r="K203" s="86"/>
      <x:c r="L203" s="53"/>
      <x:c r="M203" s="86"/>
      <x:c r="N203" s="86"/>
      <x:c r="O203" s="53"/>
      <x:c r="P203" s="53"/>
      <x:c r="Q203" s="53"/>
      <x:c r="R203" s="53"/>
      <x:c r="S203" s="53"/>
      <x:c r="T203" s="53"/>
    </x:row>
    <x:row r="204">
      <x:c r="A204" s="41" t="str">
        <x:f>'Trial Plan'!A204</x:f>
        <x:v>T201</x:v>
      </x:c>
      <x:c r="B204" s="41" t="str">
        <x:f>'Trial Plan'!B204</x:f>
        <x:v>P12</x:v>
      </x:c>
      <x:c r="C204" s="41" t="str">
        <x:f>'Trial Plan'!H204</x:f>
        <x:v>Edit Decorator</x:v>
      </x:c>
      <x:c r="D204" s="41" t="str">
        <x:f>'Trial Plan'!I204</x:f>
        <x:v>Search</x:v>
      </x:c>
      <x:c r="E204" s="41" t="str">
        <x:f>'Trial Plan'!K204</x:f>
        <x:v>search</x:v>
      </x:c>
      <x:c r="F204" s="41" t="n">
        <x:f>'Trial Plan'!L204</x:f>
        <x:v>159</x:v>
      </x:c>
      <x:c r="G204" s="41" t="str">
        <x:f>'Trial Plan'!M204</x:f>
        <x:v>Search Leg Limit 1</x:v>
      </x:c>
      <x:c r="H204" s="85"/>
      <x:c r="I204" s="86"/>
      <x:c r="J204" s="86"/>
      <x:c r="K204" s="86"/>
      <x:c r="L204" s="53"/>
      <x:c r="M204" s="86"/>
      <x:c r="N204" s="86"/>
      <x:c r="O204" s="53"/>
      <x:c r="P204" s="53"/>
      <x:c r="Q204" s="53"/>
      <x:c r="R204" s="53"/>
      <x:c r="S204" s="53"/>
      <x:c r="T204" s="53"/>
    </x:row>
    <x:row r="205">
      <x:c r="A205" s="41" t="str">
        <x:f>'Trial Plan'!A205</x:f>
        <x:v>T202</x:v>
      </x:c>
      <x:c r="B205" s="41" t="str">
        <x:f>'Trial Plan'!B205</x:f>
        <x:v>P12</x:v>
      </x:c>
      <x:c r="C205" s="41" t="str">
        <x:f>'Trial Plan'!H205</x:f>
        <x:v>Edit Decorator</x:v>
      </x:c>
      <x:c r="D205" s="41" t="str">
        <x:f>'Trial Plan'!I205</x:f>
        <x:v>Compact</x:v>
      </x:c>
      <x:c r="E205" s="41" t="str">
        <x:f>'Trial Plan'!K205</x:f>
        <x:v>defense</x:v>
      </x:c>
      <x:c r="F205" s="41" t="n">
        <x:f>'Trial Plan'!L205</x:f>
        <x:v>31</x:v>
      </x:c>
      <x:c r="G205" s="41" t="str">
        <x:f>'Trial Plan'!M205</x:f>
        <x:v>Defense Cooldown 1</x:v>
      </x:c>
      <x:c r="H205" s="85"/>
      <x:c r="I205" s="86"/>
      <x:c r="J205" s="86"/>
      <x:c r="K205" s="86"/>
      <x:c r="L205" s="53"/>
      <x:c r="M205" s="86"/>
      <x:c r="N205" s="86"/>
      <x:c r="O205" s="53"/>
      <x:c r="P205" s="53"/>
      <x:c r="Q205" s="53"/>
      <x:c r="R205" s="53"/>
      <x:c r="S205" s="53"/>
      <x:c r="T205" s="53"/>
    </x:row>
    <x:row r="206">
      <x:c r="A206" s="41" t="str">
        <x:f>'Trial Plan'!A206</x:f>
        <x:v>T203</x:v>
      </x:c>
      <x:c r="B206" s="41" t="str">
        <x:f>'Trial Plan'!B206</x:f>
        <x:v>P12</x:v>
      </x:c>
      <x:c r="C206" s="41" t="str">
        <x:f>'Trial Plan'!H206</x:f>
        <x:v>Edit Decorator</x:v>
      </x:c>
      <x:c r="D206" s="41" t="str">
        <x:f>'Trial Plan'!I206</x:f>
        <x:v>Fisheye</x:v>
      </x:c>
      <x:c r="E206" s="41" t="str">
        <x:f>'Trial Plan'!K206</x:f>
        <x:v>chase</x:v>
      </x:c>
      <x:c r="F206" s="41" t="n">
        <x:f>'Trial Plan'!L206</x:f>
        <x:v>133</x:v>
      </x:c>
      <x:c r="G206" s="41" t="str">
        <x:f>'Trial Plan'!M206</x:f>
        <x:v>Chase Step Limit 1</x:v>
      </x:c>
      <x:c r="H206" s="85"/>
      <x:c r="I206" s="86"/>
      <x:c r="J206" s="86"/>
      <x:c r="K206" s="86"/>
      <x:c r="L206" s="53"/>
      <x:c r="M206" s="86"/>
      <x:c r="N206" s="86"/>
      <x:c r="O206" s="53"/>
      <x:c r="P206" s="53"/>
      <x:c r="Q206" s="53"/>
      <x:c r="R206" s="53"/>
      <x:c r="S206" s="53"/>
      <x:c r="T206" s="53"/>
    </x:row>
    <x:row r="207">
      <x:c r="A207" s="41" t="str">
        <x:f>'Trial Plan'!A207</x:f>
        <x:v>T204</x:v>
      </x:c>
      <x:c r="B207" s="41" t="str">
        <x:f>'Trial Plan'!B207</x:f>
        <x:v>P12</x:v>
      </x:c>
      <x:c r="C207" s="41" t="str">
        <x:f>'Trial Plan'!H207</x:f>
        <x:v>Edit Decorator</x:v>
      </x:c>
      <x:c r="D207" s="41" t="str">
        <x:f>'Trial Plan'!I207</x:f>
        <x:v>Collapse</x:v>
      </x:c>
      <x:c r="E207" s="41" t="str">
        <x:f>'Trial Plan'!K207</x:f>
        <x:v>pressure</x:v>
      </x:c>
      <x:c r="F207" s="41" t="n">
        <x:f>'Trial Plan'!L207</x:f>
        <x:v>114</x:v>
      </x:c>
      <x:c r="G207" s="41" t="str">
        <x:f>'Trial Plan'!M207</x:f>
        <x:v>Pressure Cooldown 1</x:v>
      </x:c>
      <x:c r="H207" s="85"/>
      <x:c r="I207" s="86"/>
      <x:c r="J207" s="86"/>
      <x:c r="K207" s="86"/>
      <x:c r="L207" s="53"/>
      <x:c r="M207" s="86"/>
      <x:c r="N207" s="86"/>
      <x:c r="O207" s="53"/>
      <x:c r="P207" s="53"/>
      <x:c r="Q207" s="53"/>
      <x:c r="R207" s="53"/>
      <x:c r="S207" s="53"/>
      <x:c r="T207" s="53"/>
    </x:row>
    <x:row r="208">
      <x:c r="A208" s="41" t="str">
        <x:f>'Trial Plan'!A208</x:f>
        <x:v>T205</x:v>
      </x:c>
      <x:c r="B208" s="41" t="str">
        <x:f>'Trial Plan'!B208</x:f>
        <x:v>P12</x:v>
      </x:c>
      <x:c r="C208" s="41" t="str">
        <x:f>'Trial Plan'!H208</x:f>
        <x:v>Locate Action</x:v>
      </x:c>
      <x:c r="D208" s="41" t="str">
        <x:f>'Trial Plan'!I208</x:f>
        <x:v>Minimap</x:v>
      </x:c>
      <x:c r="E208" s="41" t="str">
        <x:f>'Trial Plan'!K208</x:f>
        <x:v>search</x:v>
      </x:c>
      <x:c r="F208" s="41" t="n">
        <x:f>'Trial Plan'!L208</x:f>
        <x:v>156</x:v>
      </x:c>
      <x:c r="G208" s="41" t="str">
        <x:f>'Trial Plan'!M208</x:f>
        <x:v>Search Movement 1</x:v>
      </x:c>
      <x:c r="H208" s="85"/>
      <x:c r="I208" s="86"/>
      <x:c r="J208" s="86"/>
      <x:c r="K208" s="86"/>
      <x:c r="L208" s="53"/>
      <x:c r="M208" s="86"/>
      <x:c r="N208" s="86"/>
      <x:c r="O208" s="53"/>
      <x:c r="P208" s="53"/>
      <x:c r="Q208" s="53"/>
      <x:c r="R208" s="53"/>
      <x:c r="S208" s="53"/>
      <x:c r="T208" s="53"/>
    </x:row>
    <x:row r="209">
      <x:c r="A209" s="41" t="str">
        <x:f>'Trial Plan'!A209</x:f>
        <x:v>T206</x:v>
      </x:c>
      <x:c r="B209" s="41" t="str">
        <x:f>'Trial Plan'!B209</x:f>
        <x:v>P12</x:v>
      </x:c>
      <x:c r="C209" s="41" t="str">
        <x:f>'Trial Plan'!H209</x:f>
        <x:v>Locate Action</x:v>
      </x:c>
      <x:c r="D209" s="41" t="str">
        <x:f>'Trial Plan'!I209</x:f>
        <x:v>Baseline</x:v>
      </x:c>
      <x:c r="E209" s="41" t="str">
        <x:f>'Trial Plan'!K209</x:f>
        <x:v>patrol</x:v>
      </x:c>
      <x:c r="F209" s="41" t="n">
        <x:f>'Trial Plan'!L209</x:f>
        <x:v>201</x:v>
      </x:c>
      <x:c r="G209" s="41" t="str">
        <x:f>'Trial Plan'!M209</x:f>
        <x:v>Observe Patrol Point 1</x:v>
      </x:c>
      <x:c r="H209" s="85"/>
      <x:c r="I209" s="86"/>
      <x:c r="J209" s="86"/>
      <x:c r="K209" s="86"/>
      <x:c r="L209" s="53"/>
      <x:c r="M209" s="86"/>
      <x:c r="N209" s="86"/>
      <x:c r="O209" s="53"/>
      <x:c r="P209" s="53"/>
      <x:c r="Q209" s="53"/>
      <x:c r="R209" s="53"/>
      <x:c r="S209" s="53"/>
      <x:c r="T209" s="53"/>
    </x:row>
    <x:row r="210">
      <x:c r="A210" s="41" t="str">
        <x:f>'Trial Plan'!A210</x:f>
        <x:v>T207</x:v>
      </x:c>
      <x:c r="B210" s="41" t="str">
        <x:f>'Trial Plan'!B210</x:f>
        <x:v>P12</x:v>
      </x:c>
      <x:c r="C210" s="41" t="str">
        <x:f>'Trial Plan'!H210</x:f>
        <x:v>Locate Action</x:v>
      </x:c>
      <x:c r="D210" s="41" t="str">
        <x:f>'Trial Plan'!I210</x:f>
        <x:v>Search</x:v>
      </x:c>
      <x:c r="E210" s="41" t="str">
        <x:f>'Trial Plan'!K210</x:f>
        <x:v>pressure</x:v>
      </x:c>
      <x:c r="F210" s="41" t="n">
        <x:f>'Trial Plan'!L210</x:f>
        <x:v>113</x:v>
      </x:c>
      <x:c r="G210" s="41" t="str">
        <x:f>'Trial Plan'!M210</x:f>
        <x:v>Pressure Advance 1</x:v>
      </x:c>
      <x:c r="H210" s="85"/>
      <x:c r="I210" s="86"/>
      <x:c r="J210" s="86"/>
      <x:c r="K210" s="86"/>
      <x:c r="L210" s="53"/>
      <x:c r="M210" s="86"/>
      <x:c r="N210" s="86"/>
      <x:c r="O210" s="53"/>
      <x:c r="P210" s="53"/>
      <x:c r="Q210" s="53"/>
      <x:c r="R210" s="53"/>
      <x:c r="S210" s="53"/>
      <x:c r="T210" s="53"/>
    </x:row>
    <x:row r="211">
      <x:c r="A211" s="41" t="str">
        <x:f>'Trial Plan'!A211</x:f>
        <x:v>T208</x:v>
      </x:c>
      <x:c r="B211" s="41" t="str">
        <x:f>'Trial Plan'!B211</x:f>
        <x:v>P12</x:v>
      </x:c>
      <x:c r="C211" s="41" t="str">
        <x:f>'Trial Plan'!H211</x:f>
        <x:v>Locate Action</x:v>
      </x:c>
      <x:c r="D211" s="41" t="str">
        <x:f>'Trial Plan'!I211</x:f>
        <x:v>Compact</x:v>
      </x:c>
      <x:c r="E211" s="41" t="str">
        <x:f>'Trial Plan'!K211</x:f>
        <x:v>obstacle</x:v>
      </x:c>
      <x:c r="F211" s="41" t="n">
        <x:f>'Trial Plan'!L211</x:f>
        <x:v>83</x:v>
      </x:c>
      <x:c r="G211" s="41" t="str">
        <x:f>'Trial Plan'!M211</x:f>
        <x:v>Jump Obstacle 1</x:v>
      </x:c>
      <x:c r="H211" s="85"/>
      <x:c r="I211" s="86"/>
      <x:c r="J211" s="86"/>
      <x:c r="K211" s="86"/>
      <x:c r="L211" s="53"/>
      <x:c r="M211" s="86"/>
      <x:c r="N211" s="86"/>
      <x:c r="O211" s="53"/>
      <x:c r="P211" s="53"/>
      <x:c r="Q211" s="53"/>
      <x:c r="R211" s="53"/>
      <x:c r="S211" s="53"/>
      <x:c r="T211" s="53"/>
    </x:row>
    <x:row r="212">
      <x:c r="A212" s="41" t="str">
        <x:f>'Trial Plan'!A212</x:f>
        <x:v>T209</x:v>
      </x:c>
      <x:c r="B212" s="41" t="str">
        <x:f>'Trial Plan'!B212</x:f>
        <x:v>P12</x:v>
      </x:c>
      <x:c r="C212" s="41" t="str">
        <x:f>'Trial Plan'!H212</x:f>
        <x:v>Locate Action</x:v>
      </x:c>
      <x:c r="D212" s="41" t="str">
        <x:f>'Trial Plan'!I212</x:f>
        <x:v>Fisheye</x:v>
      </x:c>
      <x:c r="E212" s="41" t="str">
        <x:f>'Trial Plan'!K212</x:f>
        <x:v>ranged</x:v>
      </x:c>
      <x:c r="F212" s="41" t="n">
        <x:f>'Trial Plan'!L212</x:f>
        <x:v>101</x:v>
      </x:c>
      <x:c r="G212" s="41" t="str">
        <x:f>'Trial Plan'!M212</x:f>
        <x:v>Fire Projectile 1</x:v>
      </x:c>
      <x:c r="H212" s="85"/>
      <x:c r="I212" s="86"/>
      <x:c r="J212" s="86"/>
      <x:c r="K212" s="86"/>
      <x:c r="L212" s="53"/>
      <x:c r="M212" s="86"/>
      <x:c r="N212" s="86"/>
      <x:c r="O212" s="53"/>
      <x:c r="P212" s="53"/>
      <x:c r="Q212" s="53"/>
      <x:c r="R212" s="53"/>
      <x:c r="S212" s="53"/>
      <x:c r="T212" s="53"/>
    </x:row>
    <x:row r="213">
      <x:c r="A213" s="41" t="str">
        <x:f>'Trial Plan'!A213</x:f>
        <x:v>T210</x:v>
      </x:c>
      <x:c r="B213" s="41" t="str">
        <x:f>'Trial Plan'!B213</x:f>
        <x:v>P12</x:v>
      </x:c>
      <x:c r="C213" s="41" t="str">
        <x:f>'Trial Plan'!H213</x:f>
        <x:v>Locate Action</x:v>
      </x:c>
      <x:c r="D213" s="41" t="str">
        <x:f>'Trial Plan'!I213</x:f>
        <x:v>Collapse</x:v>
      </x:c>
      <x:c r="E213" s="41" t="str">
        <x:f>'Trial Plan'!K213</x:f>
        <x:v>vertical</x:v>
      </x:c>
      <x:c r="F213" s="41" t="n">
        <x:f>'Trial Plan'!L213</x:f>
        <x:v>91</x:v>
      </x:c>
      <x:c r="G213" s="41" t="str">
        <x:f>'Trial Plan'!M213</x:f>
        <x:v>Climb Ladder 1</x:v>
      </x:c>
      <x:c r="H213" s="85"/>
      <x:c r="I213" s="86"/>
      <x:c r="J213" s="86"/>
      <x:c r="K213" s="86"/>
      <x:c r="L213" s="53"/>
      <x:c r="M213" s="86"/>
      <x:c r="N213" s="86"/>
      <x:c r="O213" s="53"/>
      <x:c r="P213" s="53"/>
      <x:c r="Q213" s="53"/>
      <x:c r="R213" s="53"/>
      <x:c r="S213" s="53"/>
      <x:c r="T213" s="53"/>
    </x:row>
    <x:row r="214">
      <x:c r="A214" s="41" t="str">
        <x:f>'Trial Plan'!A214</x:f>
        <x:v>T211</x:v>
      </x:c>
      <x:c r="B214" s="41" t="str">
        <x:f>'Trial Plan'!B214</x:f>
        <x:v>P12</x:v>
      </x:c>
      <x:c r="C214" s="41" t="str">
        <x:f>'Trial Plan'!H214</x:f>
        <x:v>Trace Active Path</x:v>
      </x:c>
      <x:c r="D214" s="41" t="str">
        <x:f>'Trial Plan'!I214</x:f>
        <x:v>Minimap</x:v>
      </x:c>
      <x:c r="E214" s="41" t="str">
        <x:f>'Trial Plan'!K214</x:f>
        <x:v>search</x:v>
      </x:c>
      <x:c r="F214" s="41" t="n">
        <x:f>'Trial Plan'!L214</x:f>
        <x:v>156</x:v>
      </x:c>
      <x:c r="G214" s="41" t="str">
        <x:f>'Trial Plan'!M214</x:f>
        <x:v>Search Movement 1</x:v>
      </x:c>
      <x:c r="H214" s="85"/>
      <x:c r="I214" s="86"/>
      <x:c r="J214" s="86"/>
      <x:c r="K214" s="86"/>
      <x:c r="L214" s="53"/>
      <x:c r="M214" s="86"/>
      <x:c r="N214" s="86"/>
      <x:c r="O214" s="53"/>
      <x:c r="P214" s="53"/>
      <x:c r="Q214" s="53"/>
      <x:c r="R214" s="53"/>
      <x:c r="S214" s="53"/>
      <x:c r="T214" s="53"/>
    </x:row>
    <x:row r="215">
      <x:c r="A215" s="41" t="str">
        <x:f>'Trial Plan'!A215</x:f>
        <x:v>T212</x:v>
      </x:c>
      <x:c r="B215" s="41" t="str">
        <x:f>'Trial Plan'!B215</x:f>
        <x:v>P12</x:v>
      </x:c>
      <x:c r="C215" s="41" t="str">
        <x:f>'Trial Plan'!H215</x:f>
        <x:v>Trace Active Path</x:v>
      </x:c>
      <x:c r="D215" s="41" t="str">
        <x:f>'Trial Plan'!I215</x:f>
        <x:v>Baseline</x:v>
      </x:c>
      <x:c r="E215" s="41" t="str">
        <x:f>'Trial Plan'!K215</x:f>
        <x:v>patrol</x:v>
      </x:c>
      <x:c r="F215" s="41" t="n">
        <x:f>'Trial Plan'!L215</x:f>
        <x:v>201</x:v>
      </x:c>
      <x:c r="G215" s="41" t="str">
        <x:f>'Trial Plan'!M215</x:f>
        <x:v>Observe Patrol Point 1</x:v>
      </x:c>
      <x:c r="H215" s="85"/>
      <x:c r="I215" s="86"/>
      <x:c r="J215" s="86"/>
      <x:c r="K215" s="86"/>
      <x:c r="L215" s="53"/>
      <x:c r="M215" s="86"/>
      <x:c r="N215" s="86"/>
      <x:c r="O215" s="53"/>
      <x:c r="P215" s="53"/>
      <x:c r="Q215" s="53"/>
      <x:c r="R215" s="53"/>
      <x:c r="S215" s="53"/>
      <x:c r="T215" s="53"/>
    </x:row>
    <x:row r="216">
      <x:c r="A216" s="41" t="str">
        <x:f>'Trial Plan'!A216</x:f>
        <x:v>T213</x:v>
      </x:c>
      <x:c r="B216" s="41" t="str">
        <x:f>'Trial Plan'!B216</x:f>
        <x:v>P12</x:v>
      </x:c>
      <x:c r="C216" s="41" t="str">
        <x:f>'Trial Plan'!H216</x:f>
        <x:v>Trace Active Path</x:v>
      </x:c>
      <x:c r="D216" s="41" t="str">
        <x:f>'Trial Plan'!I216</x:f>
        <x:v>Search</x:v>
      </x:c>
      <x:c r="E216" s="41" t="str">
        <x:f>'Trial Plan'!K216</x:f>
        <x:v>pressure</x:v>
      </x:c>
      <x:c r="F216" s="41" t="n">
        <x:f>'Trial Plan'!L216</x:f>
        <x:v>113</x:v>
      </x:c>
      <x:c r="G216" s="41" t="str">
        <x:f>'Trial Plan'!M216</x:f>
        <x:v>Pressure Advance 1</x:v>
      </x:c>
      <x:c r="H216" s="85"/>
      <x:c r="I216" s="86"/>
      <x:c r="J216" s="86"/>
      <x:c r="K216" s="86"/>
      <x:c r="L216" s="53"/>
      <x:c r="M216" s="86"/>
      <x:c r="N216" s="86"/>
      <x:c r="O216" s="53"/>
      <x:c r="P216" s="53"/>
      <x:c r="Q216" s="53"/>
      <x:c r="R216" s="53"/>
      <x:c r="S216" s="53"/>
      <x:c r="T216" s="53"/>
    </x:row>
    <x:row r="217">
      <x:c r="A217" s="41" t="str">
        <x:f>'Trial Plan'!A217</x:f>
        <x:v>T214</x:v>
      </x:c>
      <x:c r="B217" s="41" t="str">
        <x:f>'Trial Plan'!B217</x:f>
        <x:v>P12</x:v>
      </x:c>
      <x:c r="C217" s="41" t="str">
        <x:f>'Trial Plan'!H217</x:f>
        <x:v>Trace Active Path</x:v>
      </x:c>
      <x:c r="D217" s="41" t="str">
        <x:f>'Trial Plan'!I217</x:f>
        <x:v>Compact</x:v>
      </x:c>
      <x:c r="E217" s="41" t="str">
        <x:f>'Trial Plan'!K217</x:f>
        <x:v>obstacle</x:v>
      </x:c>
      <x:c r="F217" s="41" t="n">
        <x:f>'Trial Plan'!L217</x:f>
        <x:v>83</x:v>
      </x:c>
      <x:c r="G217" s="41" t="str">
        <x:f>'Trial Plan'!M217</x:f>
        <x:v>Jump Obstacle 1</x:v>
      </x:c>
      <x:c r="H217" s="85"/>
      <x:c r="I217" s="86"/>
      <x:c r="J217" s="86"/>
      <x:c r="K217" s="86"/>
      <x:c r="L217" s="53"/>
      <x:c r="M217" s="86"/>
      <x:c r="N217" s="86"/>
      <x:c r="O217" s="53"/>
      <x:c r="P217" s="53"/>
      <x:c r="Q217" s="53"/>
      <x:c r="R217" s="53"/>
      <x:c r="S217" s="53"/>
      <x:c r="T217" s="53"/>
    </x:row>
    <x:row r="218">
      <x:c r="A218" s="41" t="str">
        <x:f>'Trial Plan'!A218</x:f>
        <x:v>T215</x:v>
      </x:c>
      <x:c r="B218" s="41" t="str">
        <x:f>'Trial Plan'!B218</x:f>
        <x:v>P12</x:v>
      </x:c>
      <x:c r="C218" s="41" t="str">
        <x:f>'Trial Plan'!H218</x:f>
        <x:v>Trace Active Path</x:v>
      </x:c>
      <x:c r="D218" s="41" t="str">
        <x:f>'Trial Plan'!I218</x:f>
        <x:v>Fisheye</x:v>
      </x:c>
      <x:c r="E218" s="41" t="str">
        <x:f>'Trial Plan'!K218</x:f>
        <x:v>ranged</x:v>
      </x:c>
      <x:c r="F218" s="41" t="n">
        <x:f>'Trial Plan'!L218</x:f>
        <x:v>101</x:v>
      </x:c>
      <x:c r="G218" s="41" t="str">
        <x:f>'Trial Plan'!M218</x:f>
        <x:v>Fire Projectile 1</x:v>
      </x:c>
      <x:c r="H218" s="85"/>
      <x:c r="I218" s="86"/>
      <x:c r="J218" s="86"/>
      <x:c r="K218" s="86"/>
      <x:c r="L218" s="53"/>
      <x:c r="M218" s="86"/>
      <x:c r="N218" s="86"/>
      <x:c r="O218" s="53"/>
      <x:c r="P218" s="53"/>
      <x:c r="Q218" s="53"/>
      <x:c r="R218" s="53"/>
      <x:c r="S218" s="53"/>
      <x:c r="T218" s="53"/>
    </x:row>
    <x:row r="219">
      <x:c r="A219" s="41" t="str">
        <x:f>'Trial Plan'!A219</x:f>
        <x:v>T216</x:v>
      </x:c>
      <x:c r="B219" s="41" t="str">
        <x:f>'Trial Plan'!B219</x:f>
        <x:v>P12</x:v>
      </x:c>
      <x:c r="C219" s="41" t="str">
        <x:f>'Trial Plan'!H219</x:f>
        <x:v>Trace Active Path</x:v>
      </x:c>
      <x:c r="D219" s="41" t="str">
        <x:f>'Trial Plan'!I219</x:f>
        <x:v>Collapse</x:v>
      </x:c>
      <x:c r="E219" s="41" t="str">
        <x:f>'Trial Plan'!K219</x:f>
        <x:v>vertical</x:v>
      </x:c>
      <x:c r="F219" s="41" t="n">
        <x:f>'Trial Plan'!L219</x:f>
        <x:v>91</x:v>
      </x:c>
      <x:c r="G219" s="41" t="str">
        <x:f>'Trial Plan'!M219</x:f>
        <x:v>Climb Ladder 1</x:v>
      </x:c>
      <x:c r="H219" s="85"/>
      <x:c r="I219" s="86"/>
      <x:c r="J219" s="86"/>
      <x:c r="K219" s="86"/>
      <x:c r="L219" s="53"/>
      <x:c r="M219" s="86"/>
      <x:c r="N219" s="86"/>
      <x:c r="O219" s="53"/>
      <x:c r="P219" s="53"/>
      <x:c r="Q219" s="53"/>
      <x:c r="R219" s="53"/>
      <x:c r="S219" s="53"/>
      <x:c r="T219" s="53"/>
    </x:row>
  </x:sheetData>
  <x:mergeCells>
    <x:mergeCell ref="A1:T1"/>
  </x:mergeCells>
  <x:dataValidations count="6">
    <x:dataValidation type="decimal" operator="between" sqref="H4:H219">
      <x:formula1>0</x:formula1>
      <x:formula2>180</x:formula2>
    </x:dataValidation>
    <x:dataValidation type="whole" operator="between" sqref="I4:K219">
      <x:formula1>0</x:formula1>
      <x:formula2>999</x:formula2>
    </x:dataValidation>
    <x:dataValidation type="list" sqref="L4:L219">
      <x:formula1>"Yes,No"</x:formula1>
    </x:dataValidation>
    <x:dataValidation type="whole" operator="between" sqref="M4:N219">
      <x:formula1>1</x:formula1>
      <x:formula2>7</x:formula2>
    </x:dataValidation>
    <x:dataValidation type="list" sqref="O4:O219">
      <x:formula1>"No,Yes"</x:formula1>
    </x:dataValidation>
    <x:dataValidation type="list" sqref="P4:P219">
      <x:formula1>",Editor Crash,Stale Live Debug,Wrong Initial State,Researcher Error,Participant Withdrawal,Other"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5" t="str">
        <x:v>方法 × 任务采集进度（公式驱动）</x:v>
      </x:c>
      <x:c r="B1" s="5" t="str">
        <x:v>方法 × 任务采集进度（公式驱动）</x:v>
      </x:c>
      <x:c r="C1" s="5" t="str">
        <x:v>方法 × 任务采集进度（公式驱动）</x:v>
      </x:c>
      <x:c r="D1" s="5" t="str">
        <x:v>方法 × 任务采集进度（公式驱动）</x:v>
      </x:c>
      <x:c r="E1" s="5" t="str">
        <x:v>方法 × 任务采集进度（公式驱动）</x:v>
      </x:c>
      <x:c r="F1" s="5" t="str">
        <x:v>方法 × 任务采集进度（公式驱动）</x:v>
      </x:c>
      <x:c r="G1" s="5" t="str">
        <x:v>方法 × 任务采集进度（公式驱动）</x:v>
      </x:c>
      <x:c r="H1" s="5" t="str">
        <x:v>方法 × 任务采集进度（公式驱动）</x:v>
      </x:c>
      <x:c r="I1" s="5" t="str">
        <x:v>方法 × 任务采集进度（公式驱动）</x:v>
      </x:c>
      <x:c r="J1" s="5" t="str">
        <x:v>方法 × 任务采集进度（公式驱动）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25" t="str">
        <x:v>状态：待采集。这里只提供均值用于现场完整性检查；论文统计必须运行分析脚本，报告 Median [Q1, Q3]、Friedman、校正配对检验和效应量。</x:v>
      </x:c>
      <x:c r="B3" s="26" t="str">
        <x:v>状态：待采集。这里只提供均值用于现场完整性检查；论文统计必须运行分析脚本，报告 Median [Q1, Q3]、Friedman、校正配对检验和效应量。</x:v>
      </x:c>
      <x:c r="C3" s="26" t="str">
        <x:v>状态：待采集。这里只提供均值用于现场完整性检查；论文统计必须运行分析脚本，报告 Median [Q1, Q3]、Friedman、校正配对检验和效应量。</x:v>
      </x:c>
      <x:c r="D3" s="26" t="str">
        <x:v>状态：待采集。这里只提供均值用于现场完整性检查；论文统计必须运行分析脚本，报告 Median [Q1, Q3]、Friedman、校正配对检验和效应量。</x:v>
      </x:c>
      <x:c r="E3" s="26" t="str">
        <x:v>状态：待采集。这里只提供均值用于现场完整性检查；论文统计必须运行分析脚本，报告 Median [Q1, Q3]、Friedman、校正配对检验和效应量。</x:v>
      </x:c>
      <x:c r="F3" s="26" t="str">
        <x:v>状态：待采集。这里只提供均值用于现场完整性检查；论文统计必须运行分析脚本，报告 Median [Q1, Q3]、Friedman、校正配对检验和效应量。</x:v>
      </x:c>
      <x:c r="G3" s="26" t="str">
        <x:v>状态：待采集。这里只提供均值用于现场完整性检查；论文统计必须运行分析脚本，报告 Median [Q1, Q3]、Friedman、校正配对检验和效应量。</x:v>
      </x:c>
      <x:c r="H3" s="26" t="str">
        <x:v>状态：待采集。这里只提供均值用于现场完整性检查；论文统计必须运行分析脚本，报告 Median [Q1, Q3]、Friedman、校正配对检验和效应量。</x:v>
      </x:c>
      <x:c r="I3" s="26" t="str">
        <x:v>状态：待采集。这里只提供均值用于现场完整性检查；论文统计必须运行分析脚本，报告 Median [Q1, Q3]、Friedman、校正配对检验和效应量。</x:v>
      </x:c>
      <x:c r="J3" s="27" t="str">
        <x:v>状态：待采集。这里只提供均值用于现场完整性检查；论文统计必须运行分析脚本，报告 Median [Q1, Q3]、Friedman、校正配对检验和效应量。</x:v>
      </x:c>
    </x:row>
    <x:row r="4">
      <x:c r="A4" s="28" t="str">
        <x:v>状态：待采集。这里只提供均值用于现场完整性检查；论文统计必须运行分析脚本，报告 Median [Q1, Q3]、Friedman、校正配对检验和效应量。</x:v>
      </x:c>
      <x:c r="B4" s="29" t="str">
        <x:v>状态：待采集。这里只提供均值用于现场完整性检查；论文统计必须运行分析脚本，报告 Median [Q1, Q3]、Friedman、校正配对检验和效应量。</x:v>
      </x:c>
      <x:c r="C4" s="29" t="str">
        <x:v>状态：待采集。这里只提供均值用于现场完整性检查；论文统计必须运行分析脚本，报告 Median [Q1, Q3]、Friedman、校正配对检验和效应量。</x:v>
      </x:c>
      <x:c r="D4" s="29" t="str">
        <x:v>状态：待采集。这里只提供均值用于现场完整性检查；论文统计必须运行分析脚本，报告 Median [Q1, Q3]、Friedman、校正配对检验和效应量。</x:v>
      </x:c>
      <x:c r="E4" s="29" t="str">
        <x:v>状态：待采集。这里只提供均值用于现场完整性检查；论文统计必须运行分析脚本，报告 Median [Q1, Q3]、Friedman、校正配对检验和效应量。</x:v>
      </x:c>
      <x:c r="F4" s="29" t="str">
        <x:v>状态：待采集。这里只提供均值用于现场完整性检查；论文统计必须运行分析脚本，报告 Median [Q1, Q3]、Friedman、校正配对检验和效应量。</x:v>
      </x:c>
      <x:c r="G4" s="29" t="str">
        <x:v>状态：待采集。这里只提供均值用于现场完整性检查；论文统计必须运行分析脚本，报告 Median [Q1, Q3]、Friedman、校正配对检验和效应量。</x:v>
      </x:c>
      <x:c r="H4" s="29" t="str">
        <x:v>状态：待采集。这里只提供均值用于现场完整性检查；论文统计必须运行分析脚本，报告 Median [Q1, Q3]、Friedman、校正配对检验和效应量。</x:v>
      </x:c>
      <x:c r="I4" s="29" t="str">
        <x:v>状态：待采集。这里只提供均值用于现场完整性检查；论文统计必须运行分析脚本，报告 Median [Q1, Q3]、Friedman、校正配对检验和效应量。</x:v>
      </x:c>
      <x:c r="J4" s="30" t="str">
        <x:v>状态：待采集。这里只提供均值用于现场完整性检查；论文统计必须运行分析脚本，报告 Median [Q1, Q3]、Friedman、校正配对检验和效应量。</x:v>
      </x:c>
    </x:row>
    <x:row r="5">
      <x:c r="A5" s="31" t="str">
        <x:v>状态：待采集。这里只提供均值用于现场完整性检查；论文统计必须运行分析脚本，报告 Median [Q1, Q3]、Friedman、校正配对检验和效应量。</x:v>
      </x:c>
      <x:c r="B5" s="32" t="str">
        <x:v>状态：待采集。这里只提供均值用于现场完整性检查；论文统计必须运行分析脚本，报告 Median [Q1, Q3]、Friedman、校正配对检验和效应量。</x:v>
      </x:c>
      <x:c r="C5" s="32" t="str">
        <x:v>状态：待采集。这里只提供均值用于现场完整性检查；论文统计必须运行分析脚本，报告 Median [Q1, Q3]、Friedman、校正配对检验和效应量。</x:v>
      </x:c>
      <x:c r="D5" s="32" t="str">
        <x:v>状态：待采集。这里只提供均值用于现场完整性检查；论文统计必须运行分析脚本，报告 Median [Q1, Q3]、Friedman、校正配对检验和效应量。</x:v>
      </x:c>
      <x:c r="E5" s="32" t="str">
        <x:v>状态：待采集。这里只提供均值用于现场完整性检查；论文统计必须运行分析脚本，报告 Median [Q1, Q3]、Friedman、校正配对检验和效应量。</x:v>
      </x:c>
      <x:c r="F5" s="32" t="str">
        <x:v>状态：待采集。这里只提供均值用于现场完整性检查；论文统计必须运行分析脚本，报告 Median [Q1, Q3]、Friedman、校正配对检验和效应量。</x:v>
      </x:c>
      <x:c r="G5" s="32" t="str">
        <x:v>状态：待采集。这里只提供均值用于现场完整性检查；论文统计必须运行分析脚本，报告 Median [Q1, Q3]、Friedman、校正配对检验和效应量。</x:v>
      </x:c>
      <x:c r="H5" s="32" t="str">
        <x:v>状态：待采集。这里只提供均值用于现场完整性检查；论文统计必须运行分析脚本，报告 Median [Q1, Q3]、Friedman、校正配对检验和效应量。</x:v>
      </x:c>
      <x:c r="I5" s="32" t="str">
        <x:v>状态：待采集。这里只提供均值用于现场完整性检查；论文统计必须运行分析脚本，报告 Median [Q1, Q3]、Friedman、校正配对检验和效应量。</x:v>
      </x:c>
      <x:c r="J5" s="33" t="str">
        <x:v>状态：待采集。这里只提供均值用于现场完整性检查；论文统计必须运行分析脚本，报告 Median [Q1, Q3]、Friedman、校正配对检验和效应量。</x:v>
      </x:c>
    </x:row>
    <x:row r="7">
      <x:c r="A7" s="52" t="str">
        <x:v>Method</x:v>
      </x:c>
      <x:c r="B7" s="52" t="str">
        <x:v>Task</x:v>
      </x:c>
      <x:c r="C7" s="52" t="str">
        <x:v>Valid N</x:v>
      </x:c>
      <x:c r="D7" s="52" t="str">
        <x:v>Success Rate</x:v>
      </x:c>
      <x:c r="E7" s="52" t="str">
        <x:v>Mean Time (s)</x:v>
      </x:c>
      <x:c r="F7" s="52" t="str">
        <x:v>Mean Errors</x:v>
      </x:c>
      <x:c r="G7" s="52" t="str">
        <x:v>Mean Nav</x:v>
      </x:c>
      <x:c r="H7" s="52" t="str">
        <x:v>Readability</x:v>
      </x:c>
      <x:c r="I7" s="52" t="str">
        <x:v>Cognitive Load</x:v>
      </x:c>
      <x:c r="J7" s="52" t="str">
        <x:v>Status</x:v>
      </x:c>
    </x:row>
    <x:row r="8">
      <x:c r="A8" s="41" t="str">
        <x:v>Baseline</x:v>
      </x:c>
      <x:c r="B8" s="41" t="str">
        <x:v>Locate Action</x:v>
      </x:c>
      <x:c r="C8" s="84" t="n">
        <x:f>COUNTIFS('Raw Data'!$D$4:$D$219,$A8,'Raw Data'!$C$4:$C$219,$B8,'Raw Data'!$O$4:$O$219,"No",'Raw Data'!$H$4:$H$219,"&gt;=0")</x:f>
        <x:v>0</x:v>
      </x:c>
      <x:c r="D8" s="87" t="str">
        <x:f>IF(C8=0,"",COUNTIFS('Raw Data'!$D$4:$D$219,$A8,'Raw Data'!$C$4:$C$219,$B8,'Raw Data'!$O$4:$O$219,"No",'Raw Data'!$H$4:$H$219,"&gt;=0",'Raw Data'!$L$4:$L$219,"Yes")/C8)</x:f>
      </x:c>
      <x:c r="E8" s="88" t="str">
        <x:f>IF(C8=0,"",SUMIFS('Raw Data'!$H$4:$H$219,'Raw Data'!$D$4:$D$219,$A8,'Raw Data'!$C$4:$C$219,$B8,'Raw Data'!$O$4:$O$219,"No",'Raw Data'!$H$4:$H$219,"&gt;=0")/C8)</x:f>
      </x:c>
      <x:c r="F8" s="88" t="str">
        <x:f>IF(C8=0,"",SUMIFS('Raw Data'!$I$4:$I$219,'Raw Data'!$D$4:$D$219,$A8,'Raw Data'!$C$4:$C$219,$B8,'Raw Data'!$O$4:$O$219,"No",'Raw Data'!$H$4:$H$219,"&gt;=0")/C8)</x:f>
      </x:c>
      <x:c r="G8" s="88" t="str">
        <x:f>IF(C8=0,"",(SUMIFS('Raw Data'!$J$4:$J$219,'Raw Data'!$D$4:$D$219,$A8,'Raw Data'!$C$4:$C$219,$B8,'Raw Data'!$O$4:$O$219,"No",'Raw Data'!$H$4:$H$219,"&gt;=0")+SUMIFS('Raw Data'!$K$4:$K$219,'Raw Data'!$D$4:$D$219,$A8,'Raw Data'!$C$4:$C$219,$B8,'Raw Data'!$O$4:$O$219,"No",'Raw Data'!$H$4:$H$219,"&gt;=0"))/C8)</x:f>
      </x:c>
      <x:c r="H8" s="88" t="str">
        <x:f>IF(C8=0,"",SUMIFS('Raw Data'!$M$4:$M$219,'Raw Data'!$D$4:$D$219,$A8,'Raw Data'!$C$4:$C$219,$B8,'Raw Data'!$O$4:$O$219,"No",'Raw Data'!$H$4:$H$219,"&gt;=0")/C8)</x:f>
      </x:c>
      <x:c r="I8" s="88" t="str">
        <x:f>IF(C8=0,"",SUMIFS('Raw Data'!$N$4:$N$219,'Raw Data'!$D$4:$D$219,$A8,'Raw Data'!$C$4:$C$219,$B8,'Raw Data'!$O$4:$O$219,"No",'Raw Data'!$H$4:$H$219,"&gt;=0")/C8)</x:f>
      </x:c>
      <x:c r="J8" s="90" t="str">
        <x:f>IF(C8=0,"待采集","有数据")</x:f>
        <x:v>待采集</x:v>
      </x:c>
    </x:row>
    <x:row r="9">
      <x:c r="A9" s="41" t="str">
        <x:v>Baseline</x:v>
      </x:c>
      <x:c r="B9" s="41" t="str">
        <x:v>Trace Active Path</x:v>
      </x:c>
      <x:c r="C9" s="84" t="n">
        <x:f>COUNTIFS('Raw Data'!$D$4:$D$219,$A9,'Raw Data'!$C$4:$C$219,$B9,'Raw Data'!$O$4:$O$219,"No",'Raw Data'!$H$4:$H$219,"&gt;=0")</x:f>
        <x:v>0</x:v>
      </x:c>
      <x:c r="D9" s="87" t="str">
        <x:f>IF(C9=0,"",COUNTIFS('Raw Data'!$D$4:$D$219,$A9,'Raw Data'!$C$4:$C$219,$B9,'Raw Data'!$O$4:$O$219,"No",'Raw Data'!$H$4:$H$219,"&gt;=0",'Raw Data'!$L$4:$L$219,"Yes")/C9)</x:f>
      </x:c>
      <x:c r="E9" s="88" t="str">
        <x:f>IF(C9=0,"",SUMIFS('Raw Data'!$H$4:$H$219,'Raw Data'!$D$4:$D$219,$A9,'Raw Data'!$C$4:$C$219,$B9,'Raw Data'!$O$4:$O$219,"No",'Raw Data'!$H$4:$H$219,"&gt;=0")/C9)</x:f>
      </x:c>
      <x:c r="F9" s="88" t="str">
        <x:f>IF(C9=0,"",SUMIFS('Raw Data'!$I$4:$I$219,'Raw Data'!$D$4:$D$219,$A9,'Raw Data'!$C$4:$C$219,$B9,'Raw Data'!$O$4:$O$219,"No",'Raw Data'!$H$4:$H$219,"&gt;=0")/C9)</x:f>
      </x:c>
      <x:c r="G9" s="88" t="str">
        <x:f>IF(C9=0,"",(SUMIFS('Raw Data'!$J$4:$J$219,'Raw Data'!$D$4:$D$219,$A9,'Raw Data'!$C$4:$C$219,$B9,'Raw Data'!$O$4:$O$219,"No",'Raw Data'!$H$4:$H$219,"&gt;=0")+SUMIFS('Raw Data'!$K$4:$K$219,'Raw Data'!$D$4:$D$219,$A9,'Raw Data'!$C$4:$C$219,$B9,'Raw Data'!$O$4:$O$219,"No",'Raw Data'!$H$4:$H$219,"&gt;=0"))/C9)</x:f>
      </x:c>
      <x:c r="H9" s="88" t="str">
        <x:f>IF(C9=0,"",SUMIFS('Raw Data'!$M$4:$M$219,'Raw Data'!$D$4:$D$219,$A9,'Raw Data'!$C$4:$C$219,$B9,'Raw Data'!$O$4:$O$219,"No",'Raw Data'!$H$4:$H$219,"&gt;=0")/C9)</x:f>
      </x:c>
      <x:c r="I9" s="88" t="str">
        <x:f>IF(C9=0,"",SUMIFS('Raw Data'!$N$4:$N$219,'Raw Data'!$D$4:$D$219,$A9,'Raw Data'!$C$4:$C$219,$B9,'Raw Data'!$O$4:$O$219,"No",'Raw Data'!$H$4:$H$219,"&gt;=0")/C9)</x:f>
      </x:c>
      <x:c r="J9" s="90" t="str">
        <x:f>IF(C9=0,"待采集","有数据")</x:f>
        <x:v>待采集</x:v>
      </x:c>
    </x:row>
    <x:row r="10">
      <x:c r="A10" s="41" t="str">
        <x:v>Baseline</x:v>
      </x:c>
      <x:c r="B10" s="41" t="str">
        <x:v>Edit Decorator</x:v>
      </x:c>
      <x:c r="C10" s="84" t="n">
        <x:f>COUNTIFS('Raw Data'!$D$4:$D$219,$A10,'Raw Data'!$C$4:$C$219,$B10,'Raw Data'!$O$4:$O$219,"No",'Raw Data'!$H$4:$H$219,"&gt;=0")</x:f>
        <x:v>0</x:v>
      </x:c>
      <x:c r="D10" s="87" t="str">
        <x:f>IF(C10=0,"",COUNTIFS('Raw Data'!$D$4:$D$219,$A10,'Raw Data'!$C$4:$C$219,$B10,'Raw Data'!$O$4:$O$219,"No",'Raw Data'!$H$4:$H$219,"&gt;=0",'Raw Data'!$L$4:$L$219,"Yes")/C10)</x:f>
      </x:c>
      <x:c r="E10" s="88" t="str">
        <x:f>IF(C10=0,"",SUMIFS('Raw Data'!$H$4:$H$219,'Raw Data'!$D$4:$D$219,$A10,'Raw Data'!$C$4:$C$219,$B10,'Raw Data'!$O$4:$O$219,"No",'Raw Data'!$H$4:$H$219,"&gt;=0")/C10)</x:f>
      </x:c>
      <x:c r="F10" s="88" t="str">
        <x:f>IF(C10=0,"",SUMIFS('Raw Data'!$I$4:$I$219,'Raw Data'!$D$4:$D$219,$A10,'Raw Data'!$C$4:$C$219,$B10,'Raw Data'!$O$4:$O$219,"No",'Raw Data'!$H$4:$H$219,"&gt;=0")/C10)</x:f>
      </x:c>
      <x:c r="G10" s="88" t="str">
        <x:f>IF(C10=0,"",(SUMIFS('Raw Data'!$J$4:$J$219,'Raw Data'!$D$4:$D$219,$A10,'Raw Data'!$C$4:$C$219,$B10,'Raw Data'!$O$4:$O$219,"No",'Raw Data'!$H$4:$H$219,"&gt;=0")+SUMIFS('Raw Data'!$K$4:$K$219,'Raw Data'!$D$4:$D$219,$A10,'Raw Data'!$C$4:$C$219,$B10,'Raw Data'!$O$4:$O$219,"No",'Raw Data'!$H$4:$H$219,"&gt;=0"))/C10)</x:f>
      </x:c>
      <x:c r="H10" s="88" t="str">
        <x:f>IF(C10=0,"",SUMIFS('Raw Data'!$M$4:$M$219,'Raw Data'!$D$4:$D$219,$A10,'Raw Data'!$C$4:$C$219,$B10,'Raw Data'!$O$4:$O$219,"No",'Raw Data'!$H$4:$H$219,"&gt;=0")/C10)</x:f>
      </x:c>
      <x:c r="I10" s="88" t="str">
        <x:f>IF(C10=0,"",SUMIFS('Raw Data'!$N$4:$N$219,'Raw Data'!$D$4:$D$219,$A10,'Raw Data'!$C$4:$C$219,$B10,'Raw Data'!$O$4:$O$219,"No",'Raw Data'!$H$4:$H$219,"&gt;=0")/C10)</x:f>
      </x:c>
      <x:c r="J10" s="90" t="str">
        <x:f>IF(C10=0,"待采集","有数据")</x:f>
        <x:v>待采集</x:v>
      </x:c>
    </x:row>
    <x:row r="11">
      <x:c r="A11" s="41" t="str">
        <x:v>Compact</x:v>
      </x:c>
      <x:c r="B11" s="41" t="str">
        <x:v>Locate Action</x:v>
      </x:c>
      <x:c r="C11" s="84" t="n">
        <x:f>COUNTIFS('Raw Data'!$D$4:$D$219,$A11,'Raw Data'!$C$4:$C$219,$B11,'Raw Data'!$O$4:$O$219,"No",'Raw Data'!$H$4:$H$219,"&gt;=0")</x:f>
        <x:v>0</x:v>
      </x:c>
      <x:c r="D11" s="87" t="str">
        <x:f>IF(C11=0,"",COUNTIFS('Raw Data'!$D$4:$D$219,$A11,'Raw Data'!$C$4:$C$219,$B11,'Raw Data'!$O$4:$O$219,"No",'Raw Data'!$H$4:$H$219,"&gt;=0",'Raw Data'!$L$4:$L$219,"Yes")/C11)</x:f>
      </x:c>
      <x:c r="E11" s="88" t="str">
        <x:f>IF(C11=0,"",SUMIFS('Raw Data'!$H$4:$H$219,'Raw Data'!$D$4:$D$219,$A11,'Raw Data'!$C$4:$C$219,$B11,'Raw Data'!$O$4:$O$219,"No",'Raw Data'!$H$4:$H$219,"&gt;=0")/C11)</x:f>
      </x:c>
      <x:c r="F11" s="88" t="str">
        <x:f>IF(C11=0,"",SUMIFS('Raw Data'!$I$4:$I$219,'Raw Data'!$D$4:$D$219,$A11,'Raw Data'!$C$4:$C$219,$B11,'Raw Data'!$O$4:$O$219,"No",'Raw Data'!$H$4:$H$219,"&gt;=0")/C11)</x:f>
      </x:c>
      <x:c r="G11" s="88" t="str">
        <x:f>IF(C11=0,"",(SUMIFS('Raw Data'!$J$4:$J$219,'Raw Data'!$D$4:$D$219,$A11,'Raw Data'!$C$4:$C$219,$B11,'Raw Data'!$O$4:$O$219,"No",'Raw Data'!$H$4:$H$219,"&gt;=0")+SUMIFS('Raw Data'!$K$4:$K$219,'Raw Data'!$D$4:$D$219,$A11,'Raw Data'!$C$4:$C$219,$B11,'Raw Data'!$O$4:$O$219,"No",'Raw Data'!$H$4:$H$219,"&gt;=0"))/C11)</x:f>
      </x:c>
      <x:c r="H11" s="88" t="str">
        <x:f>IF(C11=0,"",SUMIFS('Raw Data'!$M$4:$M$219,'Raw Data'!$D$4:$D$219,$A11,'Raw Data'!$C$4:$C$219,$B11,'Raw Data'!$O$4:$O$219,"No",'Raw Data'!$H$4:$H$219,"&gt;=0")/C11)</x:f>
      </x:c>
      <x:c r="I11" s="88" t="str">
        <x:f>IF(C11=0,"",SUMIFS('Raw Data'!$N$4:$N$219,'Raw Data'!$D$4:$D$219,$A11,'Raw Data'!$C$4:$C$219,$B11,'Raw Data'!$O$4:$O$219,"No",'Raw Data'!$H$4:$H$219,"&gt;=0")/C11)</x:f>
      </x:c>
      <x:c r="J11" s="90" t="str">
        <x:f>IF(C11=0,"待采集","有数据")</x:f>
        <x:v>待采集</x:v>
      </x:c>
    </x:row>
    <x:row r="12">
      <x:c r="A12" s="41" t="str">
        <x:v>Compact</x:v>
      </x:c>
      <x:c r="B12" s="41" t="str">
        <x:v>Trace Active Path</x:v>
      </x:c>
      <x:c r="C12" s="84" t="n">
        <x:f>COUNTIFS('Raw Data'!$D$4:$D$219,$A12,'Raw Data'!$C$4:$C$219,$B12,'Raw Data'!$O$4:$O$219,"No",'Raw Data'!$H$4:$H$219,"&gt;=0")</x:f>
        <x:v>0</x:v>
      </x:c>
      <x:c r="D12" s="87" t="str">
        <x:f>IF(C12=0,"",COUNTIFS('Raw Data'!$D$4:$D$219,$A12,'Raw Data'!$C$4:$C$219,$B12,'Raw Data'!$O$4:$O$219,"No",'Raw Data'!$H$4:$H$219,"&gt;=0",'Raw Data'!$L$4:$L$219,"Yes")/C12)</x:f>
      </x:c>
      <x:c r="E12" s="88" t="str">
        <x:f>IF(C12=0,"",SUMIFS('Raw Data'!$H$4:$H$219,'Raw Data'!$D$4:$D$219,$A12,'Raw Data'!$C$4:$C$219,$B12,'Raw Data'!$O$4:$O$219,"No",'Raw Data'!$H$4:$H$219,"&gt;=0")/C12)</x:f>
      </x:c>
      <x:c r="F12" s="88" t="str">
        <x:f>IF(C12=0,"",SUMIFS('Raw Data'!$I$4:$I$219,'Raw Data'!$D$4:$D$219,$A12,'Raw Data'!$C$4:$C$219,$B12,'Raw Data'!$O$4:$O$219,"No",'Raw Data'!$H$4:$H$219,"&gt;=0")/C12)</x:f>
      </x:c>
      <x:c r="G12" s="88" t="str">
        <x:f>IF(C12=0,"",(SUMIFS('Raw Data'!$J$4:$J$219,'Raw Data'!$D$4:$D$219,$A12,'Raw Data'!$C$4:$C$219,$B12,'Raw Data'!$O$4:$O$219,"No",'Raw Data'!$H$4:$H$219,"&gt;=0")+SUMIFS('Raw Data'!$K$4:$K$219,'Raw Data'!$D$4:$D$219,$A12,'Raw Data'!$C$4:$C$219,$B12,'Raw Data'!$O$4:$O$219,"No",'Raw Data'!$H$4:$H$219,"&gt;=0"))/C12)</x:f>
      </x:c>
      <x:c r="H12" s="88" t="str">
        <x:f>IF(C12=0,"",SUMIFS('Raw Data'!$M$4:$M$219,'Raw Data'!$D$4:$D$219,$A12,'Raw Data'!$C$4:$C$219,$B12,'Raw Data'!$O$4:$O$219,"No",'Raw Data'!$H$4:$H$219,"&gt;=0")/C12)</x:f>
      </x:c>
      <x:c r="I12" s="88" t="str">
        <x:f>IF(C12=0,"",SUMIFS('Raw Data'!$N$4:$N$219,'Raw Data'!$D$4:$D$219,$A12,'Raw Data'!$C$4:$C$219,$B12,'Raw Data'!$O$4:$O$219,"No",'Raw Data'!$H$4:$H$219,"&gt;=0")/C12)</x:f>
      </x:c>
      <x:c r="J12" s="90" t="str">
        <x:f>IF(C12=0,"待采集","有数据")</x:f>
        <x:v>待采集</x:v>
      </x:c>
    </x:row>
    <x:row r="13">
      <x:c r="A13" s="41" t="str">
        <x:v>Compact</x:v>
      </x:c>
      <x:c r="B13" s="41" t="str">
        <x:v>Edit Decorator</x:v>
      </x:c>
      <x:c r="C13" s="84" t="n">
        <x:f>COUNTIFS('Raw Data'!$D$4:$D$219,$A13,'Raw Data'!$C$4:$C$219,$B13,'Raw Data'!$O$4:$O$219,"No",'Raw Data'!$H$4:$H$219,"&gt;=0")</x:f>
        <x:v>0</x:v>
      </x:c>
      <x:c r="D13" s="87" t="str">
        <x:f>IF(C13=0,"",COUNTIFS('Raw Data'!$D$4:$D$219,$A13,'Raw Data'!$C$4:$C$219,$B13,'Raw Data'!$O$4:$O$219,"No",'Raw Data'!$H$4:$H$219,"&gt;=0",'Raw Data'!$L$4:$L$219,"Yes")/C13)</x:f>
      </x:c>
      <x:c r="E13" s="88" t="str">
        <x:f>IF(C13=0,"",SUMIFS('Raw Data'!$H$4:$H$219,'Raw Data'!$D$4:$D$219,$A13,'Raw Data'!$C$4:$C$219,$B13,'Raw Data'!$O$4:$O$219,"No",'Raw Data'!$H$4:$H$219,"&gt;=0")/C13)</x:f>
      </x:c>
      <x:c r="F13" s="88" t="str">
        <x:f>IF(C13=0,"",SUMIFS('Raw Data'!$I$4:$I$219,'Raw Data'!$D$4:$D$219,$A13,'Raw Data'!$C$4:$C$219,$B13,'Raw Data'!$O$4:$O$219,"No",'Raw Data'!$H$4:$H$219,"&gt;=0")/C13)</x:f>
      </x:c>
      <x:c r="G13" s="88" t="str">
        <x:f>IF(C13=0,"",(SUMIFS('Raw Data'!$J$4:$J$219,'Raw Data'!$D$4:$D$219,$A13,'Raw Data'!$C$4:$C$219,$B13,'Raw Data'!$O$4:$O$219,"No",'Raw Data'!$H$4:$H$219,"&gt;=0")+SUMIFS('Raw Data'!$K$4:$K$219,'Raw Data'!$D$4:$D$219,$A13,'Raw Data'!$C$4:$C$219,$B13,'Raw Data'!$O$4:$O$219,"No",'Raw Data'!$H$4:$H$219,"&gt;=0"))/C13)</x:f>
      </x:c>
      <x:c r="H13" s="88" t="str">
        <x:f>IF(C13=0,"",SUMIFS('Raw Data'!$M$4:$M$219,'Raw Data'!$D$4:$D$219,$A13,'Raw Data'!$C$4:$C$219,$B13,'Raw Data'!$O$4:$O$219,"No",'Raw Data'!$H$4:$H$219,"&gt;=0")/C13)</x:f>
      </x:c>
      <x:c r="I13" s="88" t="str">
        <x:f>IF(C13=0,"",SUMIFS('Raw Data'!$N$4:$N$219,'Raw Data'!$D$4:$D$219,$A13,'Raw Data'!$C$4:$C$219,$B13,'Raw Data'!$O$4:$O$219,"No",'Raw Data'!$H$4:$H$219,"&gt;=0")/C13)</x:f>
      </x:c>
      <x:c r="J13" s="90" t="str">
        <x:f>IF(C13=0,"待采集","有数据")</x:f>
        <x:v>待采集</x:v>
      </x:c>
    </x:row>
    <x:row r="14">
      <x:c r="A14" s="41" t="str">
        <x:v>Collapse</x:v>
      </x:c>
      <x:c r="B14" s="41" t="str">
        <x:v>Locate Action</x:v>
      </x:c>
      <x:c r="C14" s="84" t="n">
        <x:f>COUNTIFS('Raw Data'!$D$4:$D$219,$A14,'Raw Data'!$C$4:$C$219,$B14,'Raw Data'!$O$4:$O$219,"No",'Raw Data'!$H$4:$H$219,"&gt;=0")</x:f>
        <x:v>0</x:v>
      </x:c>
      <x:c r="D14" s="87" t="str">
        <x:f>IF(C14=0,"",COUNTIFS('Raw Data'!$D$4:$D$219,$A14,'Raw Data'!$C$4:$C$219,$B14,'Raw Data'!$O$4:$O$219,"No",'Raw Data'!$H$4:$H$219,"&gt;=0",'Raw Data'!$L$4:$L$219,"Yes")/C14)</x:f>
      </x:c>
      <x:c r="E14" s="88" t="str">
        <x:f>IF(C14=0,"",SUMIFS('Raw Data'!$H$4:$H$219,'Raw Data'!$D$4:$D$219,$A14,'Raw Data'!$C$4:$C$219,$B14,'Raw Data'!$O$4:$O$219,"No",'Raw Data'!$H$4:$H$219,"&gt;=0")/C14)</x:f>
      </x:c>
      <x:c r="F14" s="88" t="str">
        <x:f>IF(C14=0,"",SUMIFS('Raw Data'!$I$4:$I$219,'Raw Data'!$D$4:$D$219,$A14,'Raw Data'!$C$4:$C$219,$B14,'Raw Data'!$O$4:$O$219,"No",'Raw Data'!$H$4:$H$219,"&gt;=0")/C14)</x:f>
      </x:c>
      <x:c r="G14" s="88" t="str">
        <x:f>IF(C14=0,"",(SUMIFS('Raw Data'!$J$4:$J$219,'Raw Data'!$D$4:$D$219,$A14,'Raw Data'!$C$4:$C$219,$B14,'Raw Data'!$O$4:$O$219,"No",'Raw Data'!$H$4:$H$219,"&gt;=0")+SUMIFS('Raw Data'!$K$4:$K$219,'Raw Data'!$D$4:$D$219,$A14,'Raw Data'!$C$4:$C$219,$B14,'Raw Data'!$O$4:$O$219,"No",'Raw Data'!$H$4:$H$219,"&gt;=0"))/C14)</x:f>
      </x:c>
      <x:c r="H14" s="88" t="str">
        <x:f>IF(C14=0,"",SUMIFS('Raw Data'!$M$4:$M$219,'Raw Data'!$D$4:$D$219,$A14,'Raw Data'!$C$4:$C$219,$B14,'Raw Data'!$O$4:$O$219,"No",'Raw Data'!$H$4:$H$219,"&gt;=0")/C14)</x:f>
      </x:c>
      <x:c r="I14" s="88" t="str">
        <x:f>IF(C14=0,"",SUMIFS('Raw Data'!$N$4:$N$219,'Raw Data'!$D$4:$D$219,$A14,'Raw Data'!$C$4:$C$219,$B14,'Raw Data'!$O$4:$O$219,"No",'Raw Data'!$H$4:$H$219,"&gt;=0")/C14)</x:f>
      </x:c>
      <x:c r="J14" s="90" t="str">
        <x:f>IF(C14=0,"待采集","有数据")</x:f>
        <x:v>待采集</x:v>
      </x:c>
    </x:row>
    <x:row r="15">
      <x:c r="A15" s="41" t="str">
        <x:v>Collapse</x:v>
      </x:c>
      <x:c r="B15" s="41" t="str">
        <x:v>Trace Active Path</x:v>
      </x:c>
      <x:c r="C15" s="84" t="n">
        <x:f>COUNTIFS('Raw Data'!$D$4:$D$219,$A15,'Raw Data'!$C$4:$C$219,$B15,'Raw Data'!$O$4:$O$219,"No",'Raw Data'!$H$4:$H$219,"&gt;=0")</x:f>
        <x:v>0</x:v>
      </x:c>
      <x:c r="D15" s="87" t="str">
        <x:f>IF(C15=0,"",COUNTIFS('Raw Data'!$D$4:$D$219,$A15,'Raw Data'!$C$4:$C$219,$B15,'Raw Data'!$O$4:$O$219,"No",'Raw Data'!$H$4:$H$219,"&gt;=0",'Raw Data'!$L$4:$L$219,"Yes")/C15)</x:f>
      </x:c>
      <x:c r="E15" s="88" t="str">
        <x:f>IF(C15=0,"",SUMIFS('Raw Data'!$H$4:$H$219,'Raw Data'!$D$4:$D$219,$A15,'Raw Data'!$C$4:$C$219,$B15,'Raw Data'!$O$4:$O$219,"No",'Raw Data'!$H$4:$H$219,"&gt;=0")/C15)</x:f>
      </x:c>
      <x:c r="F15" s="88" t="str">
        <x:f>IF(C15=0,"",SUMIFS('Raw Data'!$I$4:$I$219,'Raw Data'!$D$4:$D$219,$A15,'Raw Data'!$C$4:$C$219,$B15,'Raw Data'!$O$4:$O$219,"No",'Raw Data'!$H$4:$H$219,"&gt;=0")/C15)</x:f>
      </x:c>
      <x:c r="G15" s="88" t="str">
        <x:f>IF(C15=0,"",(SUMIFS('Raw Data'!$J$4:$J$219,'Raw Data'!$D$4:$D$219,$A15,'Raw Data'!$C$4:$C$219,$B15,'Raw Data'!$O$4:$O$219,"No",'Raw Data'!$H$4:$H$219,"&gt;=0")+SUMIFS('Raw Data'!$K$4:$K$219,'Raw Data'!$D$4:$D$219,$A15,'Raw Data'!$C$4:$C$219,$B15,'Raw Data'!$O$4:$O$219,"No",'Raw Data'!$H$4:$H$219,"&gt;=0"))/C15)</x:f>
      </x:c>
      <x:c r="H15" s="88" t="str">
        <x:f>IF(C15=0,"",SUMIFS('Raw Data'!$M$4:$M$219,'Raw Data'!$D$4:$D$219,$A15,'Raw Data'!$C$4:$C$219,$B15,'Raw Data'!$O$4:$O$219,"No",'Raw Data'!$H$4:$H$219,"&gt;=0")/C15)</x:f>
      </x:c>
      <x:c r="I15" s="88" t="str">
        <x:f>IF(C15=0,"",SUMIFS('Raw Data'!$N$4:$N$219,'Raw Data'!$D$4:$D$219,$A15,'Raw Data'!$C$4:$C$219,$B15,'Raw Data'!$O$4:$O$219,"No",'Raw Data'!$H$4:$H$219,"&gt;=0")/C15)</x:f>
      </x:c>
      <x:c r="J15" s="90" t="str">
        <x:f>IF(C15=0,"待采集","有数据")</x:f>
        <x:v>待采集</x:v>
      </x:c>
    </x:row>
    <x:row r="16">
      <x:c r="A16" s="41" t="str">
        <x:v>Collapse</x:v>
      </x:c>
      <x:c r="B16" s="41" t="str">
        <x:v>Edit Decorator</x:v>
      </x:c>
      <x:c r="C16" s="84" t="n">
        <x:f>COUNTIFS('Raw Data'!$D$4:$D$219,$A16,'Raw Data'!$C$4:$C$219,$B16,'Raw Data'!$O$4:$O$219,"No",'Raw Data'!$H$4:$H$219,"&gt;=0")</x:f>
        <x:v>0</x:v>
      </x:c>
      <x:c r="D16" s="87" t="str">
        <x:f>IF(C16=0,"",COUNTIFS('Raw Data'!$D$4:$D$219,$A16,'Raw Data'!$C$4:$C$219,$B16,'Raw Data'!$O$4:$O$219,"No",'Raw Data'!$H$4:$H$219,"&gt;=0",'Raw Data'!$L$4:$L$219,"Yes")/C16)</x:f>
      </x:c>
      <x:c r="E16" s="88" t="str">
        <x:f>IF(C16=0,"",SUMIFS('Raw Data'!$H$4:$H$219,'Raw Data'!$D$4:$D$219,$A16,'Raw Data'!$C$4:$C$219,$B16,'Raw Data'!$O$4:$O$219,"No",'Raw Data'!$H$4:$H$219,"&gt;=0")/C16)</x:f>
      </x:c>
      <x:c r="F16" s="88" t="str">
        <x:f>IF(C16=0,"",SUMIFS('Raw Data'!$I$4:$I$219,'Raw Data'!$D$4:$D$219,$A16,'Raw Data'!$C$4:$C$219,$B16,'Raw Data'!$O$4:$O$219,"No",'Raw Data'!$H$4:$H$219,"&gt;=0")/C16)</x:f>
      </x:c>
      <x:c r="G16" s="88" t="str">
        <x:f>IF(C16=0,"",(SUMIFS('Raw Data'!$J$4:$J$219,'Raw Data'!$D$4:$D$219,$A16,'Raw Data'!$C$4:$C$219,$B16,'Raw Data'!$O$4:$O$219,"No",'Raw Data'!$H$4:$H$219,"&gt;=0")+SUMIFS('Raw Data'!$K$4:$K$219,'Raw Data'!$D$4:$D$219,$A16,'Raw Data'!$C$4:$C$219,$B16,'Raw Data'!$O$4:$O$219,"No",'Raw Data'!$H$4:$H$219,"&gt;=0"))/C16)</x:f>
      </x:c>
      <x:c r="H16" s="88" t="str">
        <x:f>IF(C16=0,"",SUMIFS('Raw Data'!$M$4:$M$219,'Raw Data'!$D$4:$D$219,$A16,'Raw Data'!$C$4:$C$219,$B16,'Raw Data'!$O$4:$O$219,"No",'Raw Data'!$H$4:$H$219,"&gt;=0")/C16)</x:f>
      </x:c>
      <x:c r="I16" s="88" t="str">
        <x:f>IF(C16=0,"",SUMIFS('Raw Data'!$N$4:$N$219,'Raw Data'!$D$4:$D$219,$A16,'Raw Data'!$C$4:$C$219,$B16,'Raw Data'!$O$4:$O$219,"No",'Raw Data'!$H$4:$H$219,"&gt;=0")/C16)</x:f>
      </x:c>
      <x:c r="J16" s="90" t="str">
        <x:f>IF(C16=0,"待采集","有数据")</x:f>
        <x:v>待采集</x:v>
      </x:c>
    </x:row>
    <x:row r="17">
      <x:c r="A17" s="41" t="str">
        <x:v>Fisheye</x:v>
      </x:c>
      <x:c r="B17" s="41" t="str">
        <x:v>Locate Action</x:v>
      </x:c>
      <x:c r="C17" s="84" t="n">
        <x:f>COUNTIFS('Raw Data'!$D$4:$D$219,$A17,'Raw Data'!$C$4:$C$219,$B17,'Raw Data'!$O$4:$O$219,"No",'Raw Data'!$H$4:$H$219,"&gt;=0")</x:f>
        <x:v>0</x:v>
      </x:c>
      <x:c r="D17" s="87" t="str">
        <x:f>IF(C17=0,"",COUNTIFS('Raw Data'!$D$4:$D$219,$A17,'Raw Data'!$C$4:$C$219,$B17,'Raw Data'!$O$4:$O$219,"No",'Raw Data'!$H$4:$H$219,"&gt;=0",'Raw Data'!$L$4:$L$219,"Yes")/C17)</x:f>
      </x:c>
      <x:c r="E17" s="88" t="str">
        <x:f>IF(C17=0,"",SUMIFS('Raw Data'!$H$4:$H$219,'Raw Data'!$D$4:$D$219,$A17,'Raw Data'!$C$4:$C$219,$B17,'Raw Data'!$O$4:$O$219,"No",'Raw Data'!$H$4:$H$219,"&gt;=0")/C17)</x:f>
      </x:c>
      <x:c r="F17" s="88" t="str">
        <x:f>IF(C17=0,"",SUMIFS('Raw Data'!$I$4:$I$219,'Raw Data'!$D$4:$D$219,$A17,'Raw Data'!$C$4:$C$219,$B17,'Raw Data'!$O$4:$O$219,"No",'Raw Data'!$H$4:$H$219,"&gt;=0")/C17)</x:f>
      </x:c>
      <x:c r="G17" s="88" t="str">
        <x:f>IF(C17=0,"",(SUMIFS('Raw Data'!$J$4:$J$219,'Raw Data'!$D$4:$D$219,$A17,'Raw Data'!$C$4:$C$219,$B17,'Raw Data'!$O$4:$O$219,"No",'Raw Data'!$H$4:$H$219,"&gt;=0")+SUMIFS('Raw Data'!$K$4:$K$219,'Raw Data'!$D$4:$D$219,$A17,'Raw Data'!$C$4:$C$219,$B17,'Raw Data'!$O$4:$O$219,"No",'Raw Data'!$H$4:$H$219,"&gt;=0"))/C17)</x:f>
      </x:c>
      <x:c r="H17" s="88" t="str">
        <x:f>IF(C17=0,"",SUMIFS('Raw Data'!$M$4:$M$219,'Raw Data'!$D$4:$D$219,$A17,'Raw Data'!$C$4:$C$219,$B17,'Raw Data'!$O$4:$O$219,"No",'Raw Data'!$H$4:$H$219,"&gt;=0")/C17)</x:f>
      </x:c>
      <x:c r="I17" s="88" t="str">
        <x:f>IF(C17=0,"",SUMIFS('Raw Data'!$N$4:$N$219,'Raw Data'!$D$4:$D$219,$A17,'Raw Data'!$C$4:$C$219,$B17,'Raw Data'!$O$4:$O$219,"No",'Raw Data'!$H$4:$H$219,"&gt;=0")/C17)</x:f>
      </x:c>
      <x:c r="J17" s="90" t="str">
        <x:f>IF(C17=0,"待采集","有数据")</x:f>
        <x:v>待采集</x:v>
      </x:c>
    </x:row>
    <x:row r="18">
      <x:c r="A18" s="41" t="str">
        <x:v>Fisheye</x:v>
      </x:c>
      <x:c r="B18" s="41" t="str">
        <x:v>Trace Active Path</x:v>
      </x:c>
      <x:c r="C18" s="84" t="n">
        <x:f>COUNTIFS('Raw Data'!$D$4:$D$219,$A18,'Raw Data'!$C$4:$C$219,$B18,'Raw Data'!$O$4:$O$219,"No",'Raw Data'!$H$4:$H$219,"&gt;=0")</x:f>
        <x:v>0</x:v>
      </x:c>
      <x:c r="D18" s="87" t="str">
        <x:f>IF(C18=0,"",COUNTIFS('Raw Data'!$D$4:$D$219,$A18,'Raw Data'!$C$4:$C$219,$B18,'Raw Data'!$O$4:$O$219,"No",'Raw Data'!$H$4:$H$219,"&gt;=0",'Raw Data'!$L$4:$L$219,"Yes")/C18)</x:f>
      </x:c>
      <x:c r="E18" s="88" t="str">
        <x:f>IF(C18=0,"",SUMIFS('Raw Data'!$H$4:$H$219,'Raw Data'!$D$4:$D$219,$A18,'Raw Data'!$C$4:$C$219,$B18,'Raw Data'!$O$4:$O$219,"No",'Raw Data'!$H$4:$H$219,"&gt;=0")/C18)</x:f>
      </x:c>
      <x:c r="F18" s="88" t="str">
        <x:f>IF(C18=0,"",SUMIFS('Raw Data'!$I$4:$I$219,'Raw Data'!$D$4:$D$219,$A18,'Raw Data'!$C$4:$C$219,$B18,'Raw Data'!$O$4:$O$219,"No",'Raw Data'!$H$4:$H$219,"&gt;=0")/C18)</x:f>
      </x:c>
      <x:c r="G18" s="88" t="str">
        <x:f>IF(C18=0,"",(SUMIFS('Raw Data'!$J$4:$J$219,'Raw Data'!$D$4:$D$219,$A18,'Raw Data'!$C$4:$C$219,$B18,'Raw Data'!$O$4:$O$219,"No",'Raw Data'!$H$4:$H$219,"&gt;=0")+SUMIFS('Raw Data'!$K$4:$K$219,'Raw Data'!$D$4:$D$219,$A18,'Raw Data'!$C$4:$C$219,$B18,'Raw Data'!$O$4:$O$219,"No",'Raw Data'!$H$4:$H$219,"&gt;=0"))/C18)</x:f>
      </x:c>
      <x:c r="H18" s="88" t="str">
        <x:f>IF(C18=0,"",SUMIFS('Raw Data'!$M$4:$M$219,'Raw Data'!$D$4:$D$219,$A18,'Raw Data'!$C$4:$C$219,$B18,'Raw Data'!$O$4:$O$219,"No",'Raw Data'!$H$4:$H$219,"&gt;=0")/C18)</x:f>
      </x:c>
      <x:c r="I18" s="88" t="str">
        <x:f>IF(C18=0,"",SUMIFS('Raw Data'!$N$4:$N$219,'Raw Data'!$D$4:$D$219,$A18,'Raw Data'!$C$4:$C$219,$B18,'Raw Data'!$O$4:$O$219,"No",'Raw Data'!$H$4:$H$219,"&gt;=0")/C18)</x:f>
      </x:c>
      <x:c r="J18" s="90" t="str">
        <x:f>IF(C18=0,"待采集","有数据")</x:f>
        <x:v>待采集</x:v>
      </x:c>
    </x:row>
    <x:row r="19">
      <x:c r="A19" s="41" t="str">
        <x:v>Fisheye</x:v>
      </x:c>
      <x:c r="B19" s="41" t="str">
        <x:v>Edit Decorator</x:v>
      </x:c>
      <x:c r="C19" s="84" t="n">
        <x:f>COUNTIFS('Raw Data'!$D$4:$D$219,$A19,'Raw Data'!$C$4:$C$219,$B19,'Raw Data'!$O$4:$O$219,"No",'Raw Data'!$H$4:$H$219,"&gt;=0")</x:f>
        <x:v>0</x:v>
      </x:c>
      <x:c r="D19" s="87" t="str">
        <x:f>IF(C19=0,"",COUNTIFS('Raw Data'!$D$4:$D$219,$A19,'Raw Data'!$C$4:$C$219,$B19,'Raw Data'!$O$4:$O$219,"No",'Raw Data'!$H$4:$H$219,"&gt;=0",'Raw Data'!$L$4:$L$219,"Yes")/C19)</x:f>
      </x:c>
      <x:c r="E19" s="88" t="str">
        <x:f>IF(C19=0,"",SUMIFS('Raw Data'!$H$4:$H$219,'Raw Data'!$D$4:$D$219,$A19,'Raw Data'!$C$4:$C$219,$B19,'Raw Data'!$O$4:$O$219,"No",'Raw Data'!$H$4:$H$219,"&gt;=0")/C19)</x:f>
      </x:c>
      <x:c r="F19" s="88" t="str">
        <x:f>IF(C19=0,"",SUMIFS('Raw Data'!$I$4:$I$219,'Raw Data'!$D$4:$D$219,$A19,'Raw Data'!$C$4:$C$219,$B19,'Raw Data'!$O$4:$O$219,"No",'Raw Data'!$H$4:$H$219,"&gt;=0")/C19)</x:f>
      </x:c>
      <x:c r="G19" s="88" t="str">
        <x:f>IF(C19=0,"",(SUMIFS('Raw Data'!$J$4:$J$219,'Raw Data'!$D$4:$D$219,$A19,'Raw Data'!$C$4:$C$219,$B19,'Raw Data'!$O$4:$O$219,"No",'Raw Data'!$H$4:$H$219,"&gt;=0")+SUMIFS('Raw Data'!$K$4:$K$219,'Raw Data'!$D$4:$D$219,$A19,'Raw Data'!$C$4:$C$219,$B19,'Raw Data'!$O$4:$O$219,"No",'Raw Data'!$H$4:$H$219,"&gt;=0"))/C19)</x:f>
      </x:c>
      <x:c r="H19" s="88" t="str">
        <x:f>IF(C19=0,"",SUMIFS('Raw Data'!$M$4:$M$219,'Raw Data'!$D$4:$D$219,$A19,'Raw Data'!$C$4:$C$219,$B19,'Raw Data'!$O$4:$O$219,"No",'Raw Data'!$H$4:$H$219,"&gt;=0")/C19)</x:f>
      </x:c>
      <x:c r="I19" s="88" t="str">
        <x:f>IF(C19=0,"",SUMIFS('Raw Data'!$N$4:$N$219,'Raw Data'!$D$4:$D$219,$A19,'Raw Data'!$C$4:$C$219,$B19,'Raw Data'!$O$4:$O$219,"No",'Raw Data'!$H$4:$H$219,"&gt;=0")/C19)</x:f>
      </x:c>
      <x:c r="J19" s="90" t="str">
        <x:f>IF(C19=0,"待采集","有数据")</x:f>
        <x:v>待采集</x:v>
      </x:c>
    </x:row>
    <x:row r="20">
      <x:c r="A20" s="41" t="str">
        <x:v>Search</x:v>
      </x:c>
      <x:c r="B20" s="41" t="str">
        <x:v>Locate Action</x:v>
      </x:c>
      <x:c r="C20" s="84" t="n">
        <x:f>COUNTIFS('Raw Data'!$D$4:$D$219,$A20,'Raw Data'!$C$4:$C$219,$B20,'Raw Data'!$O$4:$O$219,"No",'Raw Data'!$H$4:$H$219,"&gt;=0")</x:f>
        <x:v>0</x:v>
      </x:c>
      <x:c r="D20" s="87" t="str">
        <x:f>IF(C20=0,"",COUNTIFS('Raw Data'!$D$4:$D$219,$A20,'Raw Data'!$C$4:$C$219,$B20,'Raw Data'!$O$4:$O$219,"No",'Raw Data'!$H$4:$H$219,"&gt;=0",'Raw Data'!$L$4:$L$219,"Yes")/C20)</x:f>
      </x:c>
      <x:c r="E20" s="88" t="str">
        <x:f>IF(C20=0,"",SUMIFS('Raw Data'!$H$4:$H$219,'Raw Data'!$D$4:$D$219,$A20,'Raw Data'!$C$4:$C$219,$B20,'Raw Data'!$O$4:$O$219,"No",'Raw Data'!$H$4:$H$219,"&gt;=0")/C20)</x:f>
      </x:c>
      <x:c r="F20" s="88" t="str">
        <x:f>IF(C20=0,"",SUMIFS('Raw Data'!$I$4:$I$219,'Raw Data'!$D$4:$D$219,$A20,'Raw Data'!$C$4:$C$219,$B20,'Raw Data'!$O$4:$O$219,"No",'Raw Data'!$H$4:$H$219,"&gt;=0")/C20)</x:f>
      </x:c>
      <x:c r="G20" s="88" t="str">
        <x:f>IF(C20=0,"",(SUMIFS('Raw Data'!$J$4:$J$219,'Raw Data'!$D$4:$D$219,$A20,'Raw Data'!$C$4:$C$219,$B20,'Raw Data'!$O$4:$O$219,"No",'Raw Data'!$H$4:$H$219,"&gt;=0")+SUMIFS('Raw Data'!$K$4:$K$219,'Raw Data'!$D$4:$D$219,$A20,'Raw Data'!$C$4:$C$219,$B20,'Raw Data'!$O$4:$O$219,"No",'Raw Data'!$H$4:$H$219,"&gt;=0"))/C20)</x:f>
      </x:c>
      <x:c r="H20" s="88" t="str">
        <x:f>IF(C20=0,"",SUMIFS('Raw Data'!$M$4:$M$219,'Raw Data'!$D$4:$D$219,$A20,'Raw Data'!$C$4:$C$219,$B20,'Raw Data'!$O$4:$O$219,"No",'Raw Data'!$H$4:$H$219,"&gt;=0")/C20)</x:f>
      </x:c>
      <x:c r="I20" s="88" t="str">
        <x:f>IF(C20=0,"",SUMIFS('Raw Data'!$N$4:$N$219,'Raw Data'!$D$4:$D$219,$A20,'Raw Data'!$C$4:$C$219,$B20,'Raw Data'!$O$4:$O$219,"No",'Raw Data'!$H$4:$H$219,"&gt;=0")/C20)</x:f>
      </x:c>
      <x:c r="J20" s="90" t="str">
        <x:f>IF(C20=0,"待采集","有数据")</x:f>
        <x:v>待采集</x:v>
      </x:c>
    </x:row>
    <x:row r="21">
      <x:c r="A21" s="41" t="str">
        <x:v>Search</x:v>
      </x:c>
      <x:c r="B21" s="41" t="str">
        <x:v>Trace Active Path</x:v>
      </x:c>
      <x:c r="C21" s="84" t="n">
        <x:f>COUNTIFS('Raw Data'!$D$4:$D$219,$A21,'Raw Data'!$C$4:$C$219,$B21,'Raw Data'!$O$4:$O$219,"No",'Raw Data'!$H$4:$H$219,"&gt;=0")</x:f>
        <x:v>0</x:v>
      </x:c>
      <x:c r="D21" s="87" t="str">
        <x:f>IF(C21=0,"",COUNTIFS('Raw Data'!$D$4:$D$219,$A21,'Raw Data'!$C$4:$C$219,$B21,'Raw Data'!$O$4:$O$219,"No",'Raw Data'!$H$4:$H$219,"&gt;=0",'Raw Data'!$L$4:$L$219,"Yes")/C21)</x:f>
      </x:c>
      <x:c r="E21" s="88" t="str">
        <x:f>IF(C21=0,"",SUMIFS('Raw Data'!$H$4:$H$219,'Raw Data'!$D$4:$D$219,$A21,'Raw Data'!$C$4:$C$219,$B21,'Raw Data'!$O$4:$O$219,"No",'Raw Data'!$H$4:$H$219,"&gt;=0")/C21)</x:f>
      </x:c>
      <x:c r="F21" s="88" t="str">
        <x:f>IF(C21=0,"",SUMIFS('Raw Data'!$I$4:$I$219,'Raw Data'!$D$4:$D$219,$A21,'Raw Data'!$C$4:$C$219,$B21,'Raw Data'!$O$4:$O$219,"No",'Raw Data'!$H$4:$H$219,"&gt;=0")/C21)</x:f>
      </x:c>
      <x:c r="G21" s="88" t="str">
        <x:f>IF(C21=0,"",(SUMIFS('Raw Data'!$J$4:$J$219,'Raw Data'!$D$4:$D$219,$A21,'Raw Data'!$C$4:$C$219,$B21,'Raw Data'!$O$4:$O$219,"No",'Raw Data'!$H$4:$H$219,"&gt;=0")+SUMIFS('Raw Data'!$K$4:$K$219,'Raw Data'!$D$4:$D$219,$A21,'Raw Data'!$C$4:$C$219,$B21,'Raw Data'!$O$4:$O$219,"No",'Raw Data'!$H$4:$H$219,"&gt;=0"))/C21)</x:f>
      </x:c>
      <x:c r="H21" s="88" t="str">
        <x:f>IF(C21=0,"",SUMIFS('Raw Data'!$M$4:$M$219,'Raw Data'!$D$4:$D$219,$A21,'Raw Data'!$C$4:$C$219,$B21,'Raw Data'!$O$4:$O$219,"No",'Raw Data'!$H$4:$H$219,"&gt;=0")/C21)</x:f>
      </x:c>
      <x:c r="I21" s="88" t="str">
        <x:f>IF(C21=0,"",SUMIFS('Raw Data'!$N$4:$N$219,'Raw Data'!$D$4:$D$219,$A21,'Raw Data'!$C$4:$C$219,$B21,'Raw Data'!$O$4:$O$219,"No",'Raw Data'!$H$4:$H$219,"&gt;=0")/C21)</x:f>
      </x:c>
      <x:c r="J21" s="90" t="str">
        <x:f>IF(C21=0,"待采集","有数据")</x:f>
        <x:v>待采集</x:v>
      </x:c>
    </x:row>
    <x:row r="22">
      <x:c r="A22" s="41" t="str">
        <x:v>Search</x:v>
      </x:c>
      <x:c r="B22" s="41" t="str">
        <x:v>Edit Decorator</x:v>
      </x:c>
      <x:c r="C22" s="84" t="n">
        <x:f>COUNTIFS('Raw Data'!$D$4:$D$219,$A22,'Raw Data'!$C$4:$C$219,$B22,'Raw Data'!$O$4:$O$219,"No",'Raw Data'!$H$4:$H$219,"&gt;=0")</x:f>
        <x:v>0</x:v>
      </x:c>
      <x:c r="D22" s="87" t="str">
        <x:f>IF(C22=0,"",COUNTIFS('Raw Data'!$D$4:$D$219,$A22,'Raw Data'!$C$4:$C$219,$B22,'Raw Data'!$O$4:$O$219,"No",'Raw Data'!$H$4:$H$219,"&gt;=0",'Raw Data'!$L$4:$L$219,"Yes")/C22)</x:f>
      </x:c>
      <x:c r="E22" s="88" t="str">
        <x:f>IF(C22=0,"",SUMIFS('Raw Data'!$H$4:$H$219,'Raw Data'!$D$4:$D$219,$A22,'Raw Data'!$C$4:$C$219,$B22,'Raw Data'!$O$4:$O$219,"No",'Raw Data'!$H$4:$H$219,"&gt;=0")/C22)</x:f>
      </x:c>
      <x:c r="F22" s="88" t="str">
        <x:f>IF(C22=0,"",SUMIFS('Raw Data'!$I$4:$I$219,'Raw Data'!$D$4:$D$219,$A22,'Raw Data'!$C$4:$C$219,$B22,'Raw Data'!$O$4:$O$219,"No",'Raw Data'!$H$4:$H$219,"&gt;=0")/C22)</x:f>
      </x:c>
      <x:c r="G22" s="88" t="str">
        <x:f>IF(C22=0,"",(SUMIFS('Raw Data'!$J$4:$J$219,'Raw Data'!$D$4:$D$219,$A22,'Raw Data'!$C$4:$C$219,$B22,'Raw Data'!$O$4:$O$219,"No",'Raw Data'!$H$4:$H$219,"&gt;=0")+SUMIFS('Raw Data'!$K$4:$K$219,'Raw Data'!$D$4:$D$219,$A22,'Raw Data'!$C$4:$C$219,$B22,'Raw Data'!$O$4:$O$219,"No",'Raw Data'!$H$4:$H$219,"&gt;=0"))/C22)</x:f>
      </x:c>
      <x:c r="H22" s="88" t="str">
        <x:f>IF(C22=0,"",SUMIFS('Raw Data'!$M$4:$M$219,'Raw Data'!$D$4:$D$219,$A22,'Raw Data'!$C$4:$C$219,$B22,'Raw Data'!$O$4:$O$219,"No",'Raw Data'!$H$4:$H$219,"&gt;=0")/C22)</x:f>
      </x:c>
      <x:c r="I22" s="88" t="str">
        <x:f>IF(C22=0,"",SUMIFS('Raw Data'!$N$4:$N$219,'Raw Data'!$D$4:$D$219,$A22,'Raw Data'!$C$4:$C$219,$B22,'Raw Data'!$O$4:$O$219,"No",'Raw Data'!$H$4:$H$219,"&gt;=0")/C22)</x:f>
      </x:c>
      <x:c r="J22" s="90" t="str">
        <x:f>IF(C22=0,"待采集","有数据")</x:f>
        <x:v>待采集</x:v>
      </x:c>
    </x:row>
    <x:row r="23">
      <x:c r="A23" s="41" t="str">
        <x:v>Minimap</x:v>
      </x:c>
      <x:c r="B23" s="41" t="str">
        <x:v>Locate Action</x:v>
      </x:c>
      <x:c r="C23" s="84" t="n">
        <x:f>COUNTIFS('Raw Data'!$D$4:$D$219,$A23,'Raw Data'!$C$4:$C$219,$B23,'Raw Data'!$O$4:$O$219,"No",'Raw Data'!$H$4:$H$219,"&gt;=0")</x:f>
        <x:v>0</x:v>
      </x:c>
      <x:c r="D23" s="87" t="str">
        <x:f>IF(C23=0,"",COUNTIFS('Raw Data'!$D$4:$D$219,$A23,'Raw Data'!$C$4:$C$219,$B23,'Raw Data'!$O$4:$O$219,"No",'Raw Data'!$H$4:$H$219,"&gt;=0",'Raw Data'!$L$4:$L$219,"Yes")/C23)</x:f>
      </x:c>
      <x:c r="E23" s="88" t="str">
        <x:f>IF(C23=0,"",SUMIFS('Raw Data'!$H$4:$H$219,'Raw Data'!$D$4:$D$219,$A23,'Raw Data'!$C$4:$C$219,$B23,'Raw Data'!$O$4:$O$219,"No",'Raw Data'!$H$4:$H$219,"&gt;=0")/C23)</x:f>
      </x:c>
      <x:c r="F23" s="88" t="str">
        <x:f>IF(C23=0,"",SUMIFS('Raw Data'!$I$4:$I$219,'Raw Data'!$D$4:$D$219,$A23,'Raw Data'!$C$4:$C$219,$B23,'Raw Data'!$O$4:$O$219,"No",'Raw Data'!$H$4:$H$219,"&gt;=0")/C23)</x:f>
      </x:c>
      <x:c r="G23" s="88" t="str">
        <x:f>IF(C23=0,"",(SUMIFS('Raw Data'!$J$4:$J$219,'Raw Data'!$D$4:$D$219,$A23,'Raw Data'!$C$4:$C$219,$B23,'Raw Data'!$O$4:$O$219,"No",'Raw Data'!$H$4:$H$219,"&gt;=0")+SUMIFS('Raw Data'!$K$4:$K$219,'Raw Data'!$D$4:$D$219,$A23,'Raw Data'!$C$4:$C$219,$B23,'Raw Data'!$O$4:$O$219,"No",'Raw Data'!$H$4:$H$219,"&gt;=0"))/C23)</x:f>
      </x:c>
      <x:c r="H23" s="88" t="str">
        <x:f>IF(C23=0,"",SUMIFS('Raw Data'!$M$4:$M$219,'Raw Data'!$D$4:$D$219,$A23,'Raw Data'!$C$4:$C$219,$B23,'Raw Data'!$O$4:$O$219,"No",'Raw Data'!$H$4:$H$219,"&gt;=0")/C23)</x:f>
      </x:c>
      <x:c r="I23" s="88" t="str">
        <x:f>IF(C23=0,"",SUMIFS('Raw Data'!$N$4:$N$219,'Raw Data'!$D$4:$D$219,$A23,'Raw Data'!$C$4:$C$219,$B23,'Raw Data'!$O$4:$O$219,"No",'Raw Data'!$H$4:$H$219,"&gt;=0")/C23)</x:f>
      </x:c>
      <x:c r="J23" s="90" t="str">
        <x:f>IF(C23=0,"待采集","有数据")</x:f>
        <x:v>待采集</x:v>
      </x:c>
    </x:row>
    <x:row r="24">
      <x:c r="A24" s="41" t="str">
        <x:v>Minimap</x:v>
      </x:c>
      <x:c r="B24" s="41" t="str">
        <x:v>Trace Active Path</x:v>
      </x:c>
      <x:c r="C24" s="84" t="n">
        <x:f>COUNTIFS('Raw Data'!$D$4:$D$219,$A24,'Raw Data'!$C$4:$C$219,$B24,'Raw Data'!$O$4:$O$219,"No",'Raw Data'!$H$4:$H$219,"&gt;=0")</x:f>
        <x:v>0</x:v>
      </x:c>
      <x:c r="D24" s="87" t="str">
        <x:f>IF(C24=0,"",COUNTIFS('Raw Data'!$D$4:$D$219,$A24,'Raw Data'!$C$4:$C$219,$B24,'Raw Data'!$O$4:$O$219,"No",'Raw Data'!$H$4:$H$219,"&gt;=0",'Raw Data'!$L$4:$L$219,"Yes")/C24)</x:f>
      </x:c>
      <x:c r="E24" s="88" t="str">
        <x:f>IF(C24=0,"",SUMIFS('Raw Data'!$H$4:$H$219,'Raw Data'!$D$4:$D$219,$A24,'Raw Data'!$C$4:$C$219,$B24,'Raw Data'!$O$4:$O$219,"No",'Raw Data'!$H$4:$H$219,"&gt;=0")/C24)</x:f>
      </x:c>
      <x:c r="F24" s="88" t="str">
        <x:f>IF(C24=0,"",SUMIFS('Raw Data'!$I$4:$I$219,'Raw Data'!$D$4:$D$219,$A24,'Raw Data'!$C$4:$C$219,$B24,'Raw Data'!$O$4:$O$219,"No",'Raw Data'!$H$4:$H$219,"&gt;=0")/C24)</x:f>
      </x:c>
      <x:c r="G24" s="88" t="str">
        <x:f>IF(C24=0,"",(SUMIFS('Raw Data'!$J$4:$J$219,'Raw Data'!$D$4:$D$219,$A24,'Raw Data'!$C$4:$C$219,$B24,'Raw Data'!$O$4:$O$219,"No",'Raw Data'!$H$4:$H$219,"&gt;=0")+SUMIFS('Raw Data'!$K$4:$K$219,'Raw Data'!$D$4:$D$219,$A24,'Raw Data'!$C$4:$C$219,$B24,'Raw Data'!$O$4:$O$219,"No",'Raw Data'!$H$4:$H$219,"&gt;=0"))/C24)</x:f>
      </x:c>
      <x:c r="H24" s="88" t="str">
        <x:f>IF(C24=0,"",SUMIFS('Raw Data'!$M$4:$M$219,'Raw Data'!$D$4:$D$219,$A24,'Raw Data'!$C$4:$C$219,$B24,'Raw Data'!$O$4:$O$219,"No",'Raw Data'!$H$4:$H$219,"&gt;=0")/C24)</x:f>
      </x:c>
      <x:c r="I24" s="88" t="str">
        <x:f>IF(C24=0,"",SUMIFS('Raw Data'!$N$4:$N$219,'Raw Data'!$D$4:$D$219,$A24,'Raw Data'!$C$4:$C$219,$B24,'Raw Data'!$O$4:$O$219,"No",'Raw Data'!$H$4:$H$219,"&gt;=0")/C24)</x:f>
      </x:c>
      <x:c r="J24" s="90" t="str">
        <x:f>IF(C24=0,"待采集","有数据")</x:f>
        <x:v>待采集</x:v>
      </x:c>
    </x:row>
    <x:row r="25">
      <x:c r="A25" s="41" t="str">
        <x:v>Minimap</x:v>
      </x:c>
      <x:c r="B25" s="41" t="str">
        <x:v>Edit Decorator</x:v>
      </x:c>
      <x:c r="C25" s="84" t="n">
        <x:f>COUNTIFS('Raw Data'!$D$4:$D$219,$A25,'Raw Data'!$C$4:$C$219,$B25,'Raw Data'!$O$4:$O$219,"No",'Raw Data'!$H$4:$H$219,"&gt;=0")</x:f>
        <x:v>0</x:v>
      </x:c>
      <x:c r="D25" s="87" t="str">
        <x:f>IF(C25=0,"",COUNTIFS('Raw Data'!$D$4:$D$219,$A25,'Raw Data'!$C$4:$C$219,$B25,'Raw Data'!$O$4:$O$219,"No",'Raw Data'!$H$4:$H$219,"&gt;=0",'Raw Data'!$L$4:$L$219,"Yes")/C25)</x:f>
      </x:c>
      <x:c r="E25" s="88" t="str">
        <x:f>IF(C25=0,"",SUMIFS('Raw Data'!$H$4:$H$219,'Raw Data'!$D$4:$D$219,$A25,'Raw Data'!$C$4:$C$219,$B25,'Raw Data'!$O$4:$O$219,"No",'Raw Data'!$H$4:$H$219,"&gt;=0")/C25)</x:f>
      </x:c>
      <x:c r="F25" s="88" t="str">
        <x:f>IF(C25=0,"",SUMIFS('Raw Data'!$I$4:$I$219,'Raw Data'!$D$4:$D$219,$A25,'Raw Data'!$C$4:$C$219,$B25,'Raw Data'!$O$4:$O$219,"No",'Raw Data'!$H$4:$H$219,"&gt;=0")/C25)</x:f>
      </x:c>
      <x:c r="G25" s="88" t="str">
        <x:f>IF(C25=0,"",(SUMIFS('Raw Data'!$J$4:$J$219,'Raw Data'!$D$4:$D$219,$A25,'Raw Data'!$C$4:$C$219,$B25,'Raw Data'!$O$4:$O$219,"No",'Raw Data'!$H$4:$H$219,"&gt;=0")+SUMIFS('Raw Data'!$K$4:$K$219,'Raw Data'!$D$4:$D$219,$A25,'Raw Data'!$C$4:$C$219,$B25,'Raw Data'!$O$4:$O$219,"No",'Raw Data'!$H$4:$H$219,"&gt;=0"))/C25)</x:f>
      </x:c>
      <x:c r="H25" s="88" t="str">
        <x:f>IF(C25=0,"",SUMIFS('Raw Data'!$M$4:$M$219,'Raw Data'!$D$4:$D$219,$A25,'Raw Data'!$C$4:$C$219,$B25,'Raw Data'!$O$4:$O$219,"No",'Raw Data'!$H$4:$H$219,"&gt;=0")/C25)</x:f>
      </x:c>
      <x:c r="I25" s="88" t="str">
        <x:f>IF(C25=0,"",SUMIFS('Raw Data'!$N$4:$N$219,'Raw Data'!$D$4:$D$219,$A25,'Raw Data'!$C$4:$C$219,$B25,'Raw Data'!$O$4:$O$219,"No",'Raw Data'!$H$4:$H$219,"&gt;=0")/C25)</x:f>
      </x:c>
      <x:c r="J25" s="90" t="str">
        <x:f>IF(C25=0,"待采集","有数据")</x:f>
        <x:v>待采集</x:v>
      </x:c>
    </x:row>
    <x:row r="28" ht="24" customHeight="1">
      <x:c r="A28" s="36" t="str">
        <x:v>论文分析规则</x:v>
      </x:c>
      <x:c r="B28" s="36" t="str">
        <x:v>论文分析规则</x:v>
      </x:c>
      <x:c r="C28" s="36" t="str">
        <x:v>论文分析规则</x:v>
      </x:c>
      <x:c r="D28" s="36" t="str">
        <x:v>论文分析规则</x:v>
      </x:c>
      <x:c r="E28" s="36" t="str">
        <x:v>论文分析规则</x:v>
      </x:c>
      <x:c r="F28" s="36" t="str">
        <x:v>论文分析规则</x:v>
      </x:c>
      <x:c r="G28" s="36" t="str">
        <x:v>论文分析规则</x:v>
      </x:c>
      <x:c r="H28" s="36" t="str">
        <x:v>论文分析规则</x:v>
      </x:c>
      <x:c r="I28" s="36" t="str">
        <x:v>论文分析规则</x:v>
      </x:c>
      <x:c r="J28" s="36" t="str">
        <x:v>论文分析规则</x:v>
      </x:c>
    </x:row>
    <x:row r="29">
      <x:c r="A29" s="46" t="str">
        <x:v>1. 主时间分析保留失败和 180 秒超时；另报告仅成功试验的敏感性分析。</x:v>
      </x:c>
      <x:c r="B29" s="46"/>
      <x:c r="C29" s="46"/>
      <x:c r="D29" s="46"/>
      <x:c r="E29" s="46"/>
      <x:c r="F29" s="46"/>
      <x:c r="G29" s="46"/>
      <x:c r="H29" s="46"/>
      <x:c r="I29" s="46"/>
      <x:c r="J29" s="46"/>
    </x:row>
    <x:row r="30">
      <x:c r="A30" s="46" t="str">
        <x:v>2. 每种方法按任务报告 N、成功率、Median [Q1, Q3]、错误、导航和评分。</x:v>
      </x:c>
      <x:c r="B30" s="46"/>
      <x:c r="C30" s="46"/>
      <x:c r="D30" s="46"/>
      <x:c r="E30" s="46"/>
      <x:c r="F30" s="46"/>
      <x:c r="G30" s="46"/>
      <x:c r="H30" s="46"/>
      <x:c r="I30" s="46"/>
      <x:c r="J30" s="46"/>
    </x:row>
    <x:row r="31">
      <x:c r="A31" s="46" t="str">
        <x:v>3. 每个任务先做 Friedman；显著后才做优化与 Baseline 的 Wilcoxon 配对。</x:v>
      </x:c>
      <x:c r="B31" s="46"/>
      <x:c r="C31" s="46"/>
      <x:c r="D31" s="46"/>
      <x:c r="E31" s="46"/>
      <x:c r="F31" s="46"/>
      <x:c r="G31" s="46"/>
      <x:c r="H31" s="46"/>
      <x:c r="I31" s="46"/>
      <x:c r="J31" s="46"/>
    </x:row>
    <x:row r="32">
      <x:c r="A32" s="46" t="str">
        <x:v>4. 五个配对使用 Holm 校正，并报告效应量；成功率用 Cochran Q / McNemar。</x:v>
      </x:c>
      <x:c r="B32" s="46"/>
      <x:c r="C32" s="46"/>
      <x:c r="D32" s="46"/>
      <x:c r="E32" s="46"/>
      <x:c r="F32" s="46"/>
      <x:c r="G32" s="46"/>
      <x:c r="H32" s="46"/>
      <x:c r="I32" s="46"/>
      <x:c r="J32" s="46"/>
    </x:row>
    <x:row r="33">
      <x:c r="A33" s="46" t="str">
        <x:v>5. 可读性越高越好；认知负担越低越好，不能未经反向编码直接相加。</x:v>
      </x:c>
      <x:c r="B33" s="46"/>
      <x:c r="C33" s="46"/>
      <x:c r="D33" s="46"/>
      <x:c r="E33" s="46"/>
      <x:c r="F33" s="46"/>
      <x:c r="G33" s="46"/>
      <x:c r="H33" s="46"/>
      <x:c r="I33" s="46"/>
      <x:c r="J33" s="46"/>
    </x:row>
    <x:row r="34">
      <x:c r="A34" s="46" t="str">
        <x:v>6. 自动几何证据与真人任务证据分开陈述，GPU 耗时不证明开发者更方便。</x:v>
      </x:c>
      <x:c r="B34" s="46"/>
      <x:c r="C34" s="46"/>
      <x:c r="D34" s="46"/>
      <x:c r="E34" s="46"/>
      <x:c r="F34" s="46"/>
      <x:c r="G34" s="46"/>
      <x:c r="H34" s="46"/>
      <x:c r="I34" s="46"/>
      <x:c r="J34" s="46"/>
    </x:row>
    <x:row r="35">
      <x:c r="A35" s="46" t="str">
        <x:v>7. 未采集真人数据时只报告实验装置已验证，绝不生成参与者结果。</x:v>
      </x:c>
      <x:c r="B35" s="46"/>
      <x:c r="C35" s="46"/>
      <x:c r="D35" s="46"/>
      <x:c r="E35" s="46"/>
      <x:c r="F35" s="46"/>
      <x:c r="G35" s="46"/>
      <x:c r="H35" s="46"/>
      <x:c r="I35" s="46"/>
      <x:c r="J35" s="46"/>
    </x:row>
  </x:sheetData>
  <x:mergeCells>
    <x:mergeCell ref="A1:J1"/>
    <x:mergeCell ref="A3:J5"/>
    <x:mergeCell ref="A28:J28"/>
    <x:mergeCell ref="A29:J29"/>
    <x:mergeCell ref="A30:J30"/>
    <x:mergeCell ref="A31:J31"/>
    <x:mergeCell ref="A32:J32"/>
    <x:mergeCell ref="A33:J33"/>
    <x:mergeCell ref="A34:J34"/>
    <x:mergeCell ref="A35:J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3" hidden="0" customWidth="1"/>
    <x:col min="4" max="4" width="42" hidden="0" customWidth="1"/>
    <x:col min="5" max="5" width="25" hidden="0" customWidth="1"/>
    <x:col min="6" max="6" width="40" hidden="0" customWidth="1"/>
  </x:cols>
  <x:sheetData>
    <x:row r="1" ht="34" customHeight="1">
      <x:c r="A1" s="5" t="str">
        <x:v>预先冻结的排除与计分规则</x:v>
      </x:c>
      <x:c r="B1" s="5" t="str">
        <x:v>预先冻结的排除与计分规则</x:v>
      </x:c>
      <x:c r="C1" s="5" t="str">
        <x:v>预先冻结的排除与计分规则</x:v>
      </x:c>
      <x:c r="D1" s="5" t="str">
        <x:v>预先冻结的排除与计分规则</x:v>
      </x:c>
      <x:c r="E1" s="5" t="str">
        <x:v>预先冻结的排除与计分规则</x:v>
      </x:c>
      <x:c r="F1" s="5" t="str">
        <x:v>预先冻结的排除与计分规则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52" t="str">
        <x:v>Level</x:v>
      </x:c>
      <x:c r="B3" s="52" t="str">
        <x:v>Condition</x:v>
      </x:c>
      <x:c r="C3" s="52" t="str">
        <x:v>Exclude?</x:v>
      </x:c>
      <x:c r="D3" s="52" t="str">
        <x:v>Raw Data Handling</x:v>
      </x:c>
      <x:c r="E3" s="52" t="str">
        <x:v>Reason Code</x:v>
      </x:c>
      <x:c r="F3" s="52" t="str">
        <x:v>Notes</x:v>
      </x:c>
    </x:row>
    <x:row r="4">
      <x:c r="A4" s="41" t="str">
        <x:v>Trial</x:v>
      </x:c>
      <x:c r="B4" s="41" t="str">
        <x:v>Editor or native crash</x:v>
      </x:c>
      <x:c r="C4" s="41" t="str">
        <x:v>Yes</x:v>
      </x:c>
      <x:c r="D4" s="41" t="str">
        <x:v>Mark Excluded=Yes; reschedule</x:v>
      </x:c>
      <x:c r="E4" s="41" t="str">
        <x:v>Editor Crash</x:v>
      </x:c>
      <x:c r="F4" s="41" t="str">
        <x:v>Not a participant-performance failure</x:v>
      </x:c>
    </x:row>
    <x:row r="5">
      <x:c r="A5" s="41" t="str">
        <x:v>Trial</x:v>
      </x:c>
      <x:c r="B5" s="41" t="str">
        <x:v>Live Debug snapshot older than 2 seconds</x:v>
      </x:c>
      <x:c r="C5" s="41" t="str">
        <x:v>Yes</x:v>
      </x:c>
      <x:c r="D5" s="41" t="str">
        <x:v>Mark Excluded=Yes; refresh and reschedule</x:v>
      </x:c>
      <x:c r="E5" s="41" t="str">
        <x:v>Stale Live Debug</x:v>
      </x:c>
      <x:c r="F5" s="41" t="str">
        <x:v>Verify ArenaEnemy / RUNNING / Depth 7</x:v>
      </x:c>
    </x:row>
    <x:row r="6">
      <x:c r="A6" s="41" t="str">
        <x:v>Trial</x:v>
      </x:c>
      <x:c r="B6" s="41" t="str">
        <x:v>Wrong tree, target, zoom, pan, or switch state</x:v>
      </x:c>
      <x:c r="C6" s="41" t="str">
        <x:v>Yes</x:v>
      </x:c>
      <x:c r="D6" s="41" t="str">
        <x:v>Mark Excluded=Yes; reset and reschedule</x:v>
      </x:c>
      <x:c r="E6" s="41" t="str">
        <x:v>Wrong Initial State</x:v>
      </x:c>
      <x:c r="F6" s="41" t="str">
        <x:v>Document the incorrect state</x:v>
      </x:c>
    </x:row>
    <x:row r="7">
      <x:c r="A7" s="41" t="str">
        <x:v>Trial</x:v>
      </x:c>
      <x:c r="B7" s="41" t="str">
        <x:v>Researcher gives hint or starts timer incorrectly</x:v>
      </x:c>
      <x:c r="C7" s="41" t="str">
        <x:v>Yes</x:v>
      </x:c>
      <x:c r="D7" s="41" t="str">
        <x:v>Mark Excluded=Yes; reschedule</x:v>
      </x:c>
      <x:c r="E7" s="41" t="str">
        <x:v>Researcher Error</x:v>
      </x:c>
      <x:c r="F7" s="41" t="str">
        <x:v>Do not silently overwrite</x:v>
      </x:c>
    </x:row>
    <x:row r="8">
      <x:c r="A8" s="41" t="str">
        <x:v>Trial</x:v>
      </x:c>
      <x:c r="B8" s="41" t="str">
        <x:v>Participant reaches 180 seconds</x:v>
      </x:c>
      <x:c r="C8" s="41" t="str">
        <x:v>No</x:v>
      </x:c>
      <x:c r="D8" s="41" t="str">
        <x:v>Time=180; Success=No</x:v>
      </x:c>
      <x:c r="E8" s="41" t="str"/>
      <x:c r="F8" s="41" t="str">
        <x:v>Normal outcome, not an outlier</x:v>
      </x:c>
    </x:row>
    <x:row r="9">
      <x:c r="A9" s="41" t="str">
        <x:v>Trial</x:v>
      </x:c>
      <x:c r="B9" s="41" t="str">
        <x:v>Participant chooses wrong node/path/value</x:v>
      </x:c>
      <x:c r="C9" s="41" t="str">
        <x:v>No</x:v>
      </x:c>
      <x:c r="D9" s="41" t="str">
        <x:v>Increment Errors; retain time</x:v>
      </x:c>
      <x:c r="E9" s="41" t="str"/>
      <x:c r="F9" s="41" t="str">
        <x:v>Normal task error</x:v>
      </x:c>
    </x:row>
    <x:row r="10">
      <x:c r="A10" s="41" t="str">
        <x:v>Trial</x:v>
      </x:c>
      <x:c r="B10" s="41" t="str">
        <x:v>Participant gives up</x:v>
      </x:c>
      <x:c r="C10" s="41" t="str">
        <x:v>No</x:v>
      </x:c>
      <x:c r="D10" s="41" t="str">
        <x:v>Success=No; retain actual time</x:v>
      </x:c>
      <x:c r="E10" s="41" t="str"/>
      <x:c r="F10" s="41" t="str">
        <x:v>Record reason in comment</x:v>
      </x:c>
    </x:row>
    <x:row r="11">
      <x:c r="A11" s="41" t="str">
        <x:v>Participant</x:v>
      </x:c>
      <x:c r="B11" s="41" t="str">
        <x:v>Withdraws consent or never consented</x:v>
      </x:c>
      <x:c r="C11" s="41" t="str">
        <x:v>Yes</x:v>
      </x:c>
      <x:c r="D11" s="41" t="str">
        <x:v>Mark affected rows excluded</x:v>
      </x:c>
      <x:c r="E11" s="41" t="str">
        <x:v>Participant Withdrawal</x:v>
      </x:c>
      <x:c r="F11" s="41" t="str">
        <x:v>Store anonymous ID only</x:v>
      </x:c>
    </x:row>
    <x:row r="12">
      <x:c r="A12" s="41" t="str">
        <x:v>Participant</x:v>
      </x:c>
      <x:c r="B12" s="41" t="str">
        <x:v>Device/project failure affects more than 3 trials</x:v>
      </x:c>
      <x:c r="C12" s="41" t="str">
        <x:v>Yes</x:v>
      </x:c>
      <x:c r="D12" s="41" t="str">
        <x:v>Exclude after documented review</x:v>
      </x:c>
      <x:c r="E12" s="41" t="str">
        <x:v>Other</x:v>
      </x:c>
      <x:c r="F12" s="41" t="str">
        <x:v>Apply before inferential analysis</x:v>
      </x:c>
    </x:row>
    <x:row r="15">
      <x:c r="A15" s="25" t="str">
        <x:v>排除规则必须在查看方法差异前冻结。正常失败、错误、放弃和超时不能为了改善结果而删除。主结果保留失败和封顶时间，另可报告仅成功试验的敏感性分析。</x:v>
      </x:c>
      <x:c r="B15" s="26" t="str">
        <x:v>排除规则必须在查看方法差异前冻结。正常失败、错误、放弃和超时不能为了改善结果而删除。主结果保留失败和封顶时间，另可报告仅成功试验的敏感性分析。</x:v>
      </x:c>
      <x:c r="C15" s="26" t="str">
        <x:v>排除规则必须在查看方法差异前冻结。正常失败、错误、放弃和超时不能为了改善结果而删除。主结果保留失败和封顶时间，另可报告仅成功试验的敏感性分析。</x:v>
      </x:c>
      <x:c r="D15" s="26" t="str">
        <x:v>排除规则必须在查看方法差异前冻结。正常失败、错误、放弃和超时不能为了改善结果而删除。主结果保留失败和封顶时间，另可报告仅成功试验的敏感性分析。</x:v>
      </x:c>
      <x:c r="E15" s="26" t="str">
        <x:v>排除规则必须在查看方法差异前冻结。正常失败、错误、放弃和超时不能为了改善结果而删除。主结果保留失败和封顶时间，另可报告仅成功试验的敏感性分析。</x:v>
      </x:c>
      <x:c r="F15" s="27" t="str">
        <x:v>排除规则必须在查看方法差异前冻结。正常失败、错误、放弃和超时不能为了改善结果而删除。主结果保留失败和封顶时间，另可报告仅成功试验的敏感性分析。</x:v>
      </x:c>
    </x:row>
    <x:row r="16">
      <x:c r="A16" s="28" t="str">
        <x:v>排除规则必须在查看方法差异前冻结。正常失败、错误、放弃和超时不能为了改善结果而删除。主结果保留失败和封顶时间，另可报告仅成功试验的敏感性分析。</x:v>
      </x:c>
      <x:c r="B16" s="29" t="str">
        <x:v>排除规则必须在查看方法差异前冻结。正常失败、错误、放弃和超时不能为了改善结果而删除。主结果保留失败和封顶时间，另可报告仅成功试验的敏感性分析。</x:v>
      </x:c>
      <x:c r="C16" s="29" t="str">
        <x:v>排除规则必须在查看方法差异前冻结。正常失败、错误、放弃和超时不能为了改善结果而删除。主结果保留失败和封顶时间，另可报告仅成功试验的敏感性分析。</x:v>
      </x:c>
      <x:c r="D16" s="29" t="str">
        <x:v>排除规则必须在查看方法差异前冻结。正常失败、错误、放弃和超时不能为了改善结果而删除。主结果保留失败和封顶时间，另可报告仅成功试验的敏感性分析。</x:v>
      </x:c>
      <x:c r="E16" s="29" t="str">
        <x:v>排除规则必须在查看方法差异前冻结。正常失败、错误、放弃和超时不能为了改善结果而删除。主结果保留失败和封顶时间，另可报告仅成功试验的敏感性分析。</x:v>
      </x:c>
      <x:c r="F16" s="30" t="str">
        <x:v>排除规则必须在查看方法差异前冻结。正常失败、错误、放弃和超时不能为了改善结果而删除。主结果保留失败和封顶时间，另可报告仅成功试验的敏感性分析。</x:v>
      </x:c>
    </x:row>
    <x:row r="17">
      <x:c r="A17" s="28" t="str">
        <x:v>排除规则必须在查看方法差异前冻结。正常失败、错误、放弃和超时不能为了改善结果而删除。主结果保留失败和封顶时间，另可报告仅成功试验的敏感性分析。</x:v>
      </x:c>
      <x:c r="B17" s="29" t="str">
        <x:v>排除规则必须在查看方法差异前冻结。正常失败、错误、放弃和超时不能为了改善结果而删除。主结果保留失败和封顶时间，另可报告仅成功试验的敏感性分析。</x:v>
      </x:c>
      <x:c r="C17" s="29" t="str">
        <x:v>排除规则必须在查看方法差异前冻结。正常失败、错误、放弃和超时不能为了改善结果而删除。主结果保留失败和封顶时间，另可报告仅成功试验的敏感性分析。</x:v>
      </x:c>
      <x:c r="D17" s="29" t="str">
        <x:v>排除规则必须在查看方法差异前冻结。正常失败、错误、放弃和超时不能为了改善结果而删除。主结果保留失败和封顶时间，另可报告仅成功试验的敏感性分析。</x:v>
      </x:c>
      <x:c r="E17" s="29" t="str">
        <x:v>排除规则必须在查看方法差异前冻结。正常失败、错误、放弃和超时不能为了改善结果而删除。主结果保留失败和封顶时间，另可报告仅成功试验的敏感性分析。</x:v>
      </x:c>
      <x:c r="F17" s="30" t="str">
        <x:v>排除规则必须在查看方法差异前冻结。正常失败、错误、放弃和超时不能为了改善结果而删除。主结果保留失败和封顶时间，另可报告仅成功试验的敏感性分析。</x:v>
      </x:c>
    </x:row>
    <x:row r="18">
      <x:c r="A18" s="31" t="str">
        <x:v>排除规则必须在查看方法差异前冻结。正常失败、错误、放弃和超时不能为了改善结果而删除。主结果保留失败和封顶时间，另可报告仅成功试验的敏感性分析。</x:v>
      </x:c>
      <x:c r="B18" s="32" t="str">
        <x:v>排除规则必须在查看方法差异前冻结。正常失败、错误、放弃和超时不能为了改善结果而删除。主结果保留失败和封顶时间，另可报告仅成功试验的敏感性分析。</x:v>
      </x:c>
      <x:c r="C18" s="32" t="str">
        <x:v>排除规则必须在查看方法差异前冻结。正常失败、错误、放弃和超时不能为了改善结果而删除。主结果保留失败和封顶时间，另可报告仅成功试验的敏感性分析。</x:v>
      </x:c>
      <x:c r="D18" s="32" t="str">
        <x:v>排除规则必须在查看方法差异前冻结。正常失败、错误、放弃和超时不能为了改善结果而删除。主结果保留失败和封顶时间，另可报告仅成功试验的敏感性分析。</x:v>
      </x:c>
      <x:c r="E18" s="32" t="str">
        <x:v>排除规则必须在查看方法差异前冻结。正常失败、错误、放弃和超时不能为了改善结果而删除。主结果保留失败和封顶时间，另可报告仅成功试验的敏感性分析。</x:v>
      </x:c>
      <x:c r="F18" s="33" t="str">
        <x:v>排除规则必须在查看方法差异前冻结。正常失败、错误、放弃和超时不能为了改善结果而删除。主结果保留失败和封顶时间，另可报告仅成功试验的敏感性分析。</x:v>
      </x:c>
    </x:row>
  </x:sheetData>
  <x:mergeCells>
    <x:mergeCell ref="A1:F1"/>
    <x:mergeCell ref="A15:F18"/>
  </x:mergeCells>
  <x:pageMargins left="0.7" right="0.7" top="0.75" bottom="0.75" header="0.3" footer="0.3"/>
</x:worksheet>
</file>